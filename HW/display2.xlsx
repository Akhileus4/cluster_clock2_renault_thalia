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34d03db6305957/Sajat tervezes/oracsoport/"/>
    </mc:Choice>
  </mc:AlternateContent>
  <xr:revisionPtr revIDLastSave="92" documentId="13_ncr:1_{91DFD7A4-B73D-4828-9E6D-E3AE4A36BEB5}" xr6:coauthVersionLast="47" xr6:coauthVersionMax="47" xr10:uidLastSave="{C2151C42-2506-4910-9372-C30EA20F958D}"/>
  <bookViews>
    <workbookView xWindow="-28920" yWindow="-120" windowWidth="29040" windowHeight="15840" activeTab="8" xr2:uid="{9023ED8F-91EB-4FAF-952B-A931A416BB2F}"/>
  </bookViews>
  <sheets>
    <sheet name="LED" sheetId="2" r:id="rId1"/>
    <sheet name="High power LEDS" sheetId="3" r:id="rId2"/>
    <sheet name="TLV61046A" sheetId="4" r:id="rId3"/>
    <sheet name="LP5036" sheetId="7" r:id="rId4"/>
    <sheet name="MT2492" sheetId="6" r:id="rId5"/>
    <sheet name="ADC" sheetId="5" r:id="rId6"/>
    <sheet name="timer calcs" sheetId="8" r:id="rId7"/>
    <sheet name="error codes" sheetId="9" r:id="rId8"/>
    <sheet name="motor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0" l="1"/>
  <c r="G22" i="10"/>
  <c r="G21" i="10"/>
  <c r="G20" i="10"/>
  <c r="G19" i="10"/>
  <c r="G18" i="10"/>
  <c r="G17" i="10"/>
  <c r="G16" i="10"/>
  <c r="G15" i="10"/>
  <c r="G14" i="10"/>
  <c r="G13" i="10"/>
  <c r="G5" i="10"/>
  <c r="G6" i="10"/>
  <c r="G7" i="10"/>
  <c r="G8" i="10"/>
  <c r="G9" i="10"/>
  <c r="G10" i="10"/>
  <c r="G11" i="10"/>
  <c r="G12" i="10"/>
  <c r="G4" i="10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32" i="8"/>
  <c r="K31" i="8"/>
  <c r="K30" i="8"/>
  <c r="K29" i="8"/>
  <c r="K28" i="8"/>
  <c r="K27" i="8"/>
  <c r="K26" i="8"/>
  <c r="K25" i="8"/>
  <c r="K23" i="8"/>
  <c r="K22" i="8"/>
  <c r="K21" i="8"/>
  <c r="K20" i="8"/>
  <c r="K19" i="8"/>
  <c r="K18" i="8"/>
  <c r="K17" i="8"/>
  <c r="K16" i="8"/>
  <c r="K24" i="8"/>
  <c r="K9" i="8"/>
  <c r="G28" i="8"/>
  <c r="G29" i="8"/>
  <c r="G30" i="8"/>
  <c r="G31" i="8"/>
  <c r="G32" i="8"/>
  <c r="G17" i="8"/>
  <c r="G18" i="8"/>
  <c r="G19" i="8"/>
  <c r="G20" i="8"/>
  <c r="G21" i="8"/>
  <c r="G22" i="8"/>
  <c r="G23" i="8"/>
  <c r="G24" i="8"/>
  <c r="G25" i="8"/>
  <c r="G26" i="8"/>
  <c r="G27" i="8"/>
  <c r="G16" i="8"/>
  <c r="I16" i="5"/>
  <c r="J16" i="5"/>
  <c r="K16" i="5"/>
  <c r="I17" i="5"/>
  <c r="J17" i="5"/>
  <c r="K17" i="5"/>
  <c r="I18" i="5"/>
  <c r="L18" i="5" s="1"/>
  <c r="J18" i="5"/>
  <c r="M18" i="5" s="1"/>
  <c r="K18" i="5"/>
  <c r="N18" i="5" s="1"/>
  <c r="I19" i="5"/>
  <c r="L19" i="5" s="1"/>
  <c r="J19" i="5"/>
  <c r="M19" i="5" s="1"/>
  <c r="K19" i="5"/>
  <c r="N19" i="5" s="1"/>
  <c r="I15" i="5"/>
  <c r="U10" i="9"/>
  <c r="U11" i="9"/>
  <c r="U12" i="9"/>
  <c r="U18" i="9"/>
  <c r="U19" i="9"/>
  <c r="U20" i="9"/>
  <c r="U27" i="9"/>
  <c r="U4" i="9"/>
  <c r="W17" i="5"/>
  <c r="W18" i="5" s="1"/>
  <c r="V17" i="5"/>
  <c r="V18" i="5" s="1"/>
  <c r="U17" i="5"/>
  <c r="U18" i="5" s="1"/>
  <c r="N17" i="5"/>
  <c r="M17" i="5"/>
  <c r="L17" i="5"/>
  <c r="N16" i="5"/>
  <c r="M16" i="5"/>
  <c r="L16" i="5"/>
  <c r="T15" i="5"/>
  <c r="T17" i="5" s="1"/>
  <c r="T18" i="5" s="1"/>
  <c r="K15" i="5"/>
  <c r="N15" i="5" s="1"/>
  <c r="J15" i="5"/>
  <c r="M15" i="5" s="1"/>
  <c r="L15" i="5"/>
  <c r="AG26" i="9"/>
  <c r="AG25" i="9"/>
  <c r="AG24" i="9"/>
  <c r="AG22" i="9"/>
  <c r="AG21" i="9"/>
  <c r="AG20" i="9"/>
  <c r="U9" i="8"/>
  <c r="U12" i="8" s="1"/>
  <c r="Q12" i="8"/>
  <c r="Q10" i="8"/>
  <c r="K9" i="6"/>
  <c r="K10" i="6" s="1"/>
  <c r="K24" i="6"/>
  <c r="L9" i="6"/>
  <c r="L12" i="6"/>
  <c r="L13" i="6"/>
  <c r="K8" i="8"/>
  <c r="G8" i="8"/>
  <c r="G10" i="8" s="1"/>
  <c r="G11" i="8" s="1"/>
  <c r="J14" i="7"/>
  <c r="E14" i="7"/>
  <c r="E14" i="4"/>
  <c r="N25" i="6"/>
  <c r="M14" i="6"/>
  <c r="K14" i="6"/>
  <c r="K13" i="6"/>
  <c r="M11" i="6"/>
  <c r="L10" i="6"/>
  <c r="M9" i="6"/>
  <c r="L7" i="6"/>
  <c r="L6" i="6"/>
  <c r="M5" i="6"/>
  <c r="K5" i="6"/>
  <c r="K6" i="6" s="1"/>
  <c r="M3" i="6"/>
  <c r="K3" i="6"/>
  <c r="L16" i="6" l="1"/>
  <c r="M12" i="6"/>
  <c r="K12" i="6"/>
  <c r="K7" i="6"/>
  <c r="M13" i="6"/>
  <c r="M7" i="6"/>
  <c r="M10" i="6" s="1"/>
  <c r="K16" i="6" l="1"/>
  <c r="M16" i="6"/>
  <c r="R8" i="6" l="1"/>
  <c r="R7" i="6"/>
  <c r="J8" i="5"/>
  <c r="F8" i="5"/>
  <c r="O15" i="4"/>
  <c r="P18" i="2"/>
  <c r="P19" i="2" s="1"/>
  <c r="P20" i="2" s="1"/>
  <c r="E17" i="4"/>
  <c r="E18" i="4" s="1"/>
  <c r="I14" i="4"/>
  <c r="E10" i="4"/>
  <c r="E7" i="4"/>
  <c r="E20" i="4" s="1"/>
  <c r="I20" i="4" s="1"/>
  <c r="U10" i="3"/>
  <c r="U11" i="3" s="1"/>
  <c r="U12" i="3" s="1"/>
  <c r="P10" i="3"/>
  <c r="P11" i="3" s="1"/>
  <c r="P12" i="3" s="1"/>
  <c r="K10" i="3"/>
  <c r="K11" i="3" s="1"/>
  <c r="K12" i="3" s="1"/>
  <c r="F10" i="3"/>
  <c r="F11" i="3" s="1"/>
  <c r="F12" i="3" s="1"/>
  <c r="J18" i="2"/>
  <c r="J19" i="2" s="1"/>
  <c r="J20" i="2" s="1"/>
  <c r="J7" i="2"/>
  <c r="J8" i="2" s="1"/>
  <c r="J9" i="2" s="1"/>
  <c r="E27" i="2"/>
  <c r="E28" i="2" s="1"/>
  <c r="E29" i="2" s="1"/>
  <c r="E17" i="2"/>
  <c r="E18" i="2" s="1"/>
  <c r="E19" i="2" s="1"/>
  <c r="E7" i="2"/>
  <c r="E8" i="2" s="1"/>
  <c r="E9" i="2" s="1"/>
  <c r="E19" i="4" l="1"/>
  <c r="I19" i="4" s="1"/>
  <c r="I18" i="4"/>
  <c r="I17" i="4"/>
  <c r="U22" i="9"/>
  <c r="U26" i="9"/>
  <c r="U17" i="9"/>
  <c r="U33" i="9"/>
  <c r="U8" i="9"/>
  <c r="U13" i="9"/>
  <c r="U3" i="9"/>
  <c r="U32" i="9"/>
  <c r="U7" i="9"/>
  <c r="U25" i="9"/>
  <c r="U34" i="9"/>
  <c r="U31" i="9"/>
  <c r="U6" i="9"/>
  <c r="U23" i="9"/>
  <c r="U30" i="9"/>
  <c r="U5" i="9"/>
  <c r="U24" i="9"/>
  <c r="U29" i="9"/>
  <c r="K10" i="8"/>
</calcChain>
</file>

<file path=xl/sharedStrings.xml><?xml version="1.0" encoding="utf-8"?>
<sst xmlns="http://schemas.openxmlformats.org/spreadsheetml/2006/main" count="504" uniqueCount="230">
  <si>
    <t>VDD</t>
  </si>
  <si>
    <t>CP2102N</t>
  </si>
  <si>
    <t>Iled</t>
  </si>
  <si>
    <t>V</t>
  </si>
  <si>
    <t>A</t>
  </si>
  <si>
    <t>XT on</t>
  </si>
  <si>
    <t>Rser</t>
  </si>
  <si>
    <t>Prser</t>
  </si>
  <si>
    <t>W</t>
  </si>
  <si>
    <t>Ohm</t>
  </si>
  <si>
    <t>Vser</t>
  </si>
  <si>
    <t>Vf</t>
  </si>
  <si>
    <t>green LED</t>
  </si>
  <si>
    <t>USB blue</t>
  </si>
  <si>
    <t>3V3
green</t>
  </si>
  <si>
    <t>orange LED</t>
  </si>
  <si>
    <t>ESP32</t>
  </si>
  <si>
    <t>high power
green</t>
  </si>
  <si>
    <t>high power
orange</t>
  </si>
  <si>
    <t>high power
RED</t>
  </si>
  <si>
    <t>high power
BLUE</t>
  </si>
  <si>
    <t>Vout</t>
  </si>
  <si>
    <t>Iout</t>
  </si>
  <si>
    <t>Vin</t>
  </si>
  <si>
    <t>efficiency</t>
  </si>
  <si>
    <t>%</t>
  </si>
  <si>
    <t>fsw</t>
  </si>
  <si>
    <t>Hz</t>
  </si>
  <si>
    <t>kHz</t>
  </si>
  <si>
    <t>Dmax</t>
  </si>
  <si>
    <t>Vripple</t>
  </si>
  <si>
    <t>Ifb_leak</t>
  </si>
  <si>
    <t>nA</t>
  </si>
  <si>
    <t>Vref</t>
  </si>
  <si>
    <t>R2</t>
  </si>
  <si>
    <t>Ω</t>
  </si>
  <si>
    <t>kΩ</t>
  </si>
  <si>
    <t>R1</t>
  </si>
  <si>
    <t>L</t>
  </si>
  <si>
    <t>H</t>
  </si>
  <si>
    <t>uH</t>
  </si>
  <si>
    <t>Ipp</t>
  </si>
  <si>
    <t>mA</t>
  </si>
  <si>
    <t>Ip</t>
  </si>
  <si>
    <t>Cout</t>
  </si>
  <si>
    <t>F</t>
  </si>
  <si>
    <t>uF</t>
  </si>
  <si>
    <t>12v</t>
  </si>
  <si>
    <t>k</t>
  </si>
  <si>
    <t>12V</t>
  </si>
  <si>
    <t>USB</t>
  </si>
  <si>
    <t>yellow led showing that the boost is on</t>
  </si>
  <si>
    <t>min</t>
  </si>
  <si>
    <t>nom</t>
  </si>
  <si>
    <t>max</t>
  </si>
  <si>
    <t>Vin [V]</t>
  </si>
  <si>
    <t>Vout [V]</t>
  </si>
  <si>
    <t>Vfb [V]</t>
  </si>
  <si>
    <t>R1 [kΩ]</t>
  </si>
  <si>
    <t>R2 [kΩ]</t>
  </si>
  <si>
    <t>fosc [Hz]</t>
  </si>
  <si>
    <t>Lmin [uH]</t>
  </si>
  <si>
    <t>∆I [I]</t>
  </si>
  <si>
    <t>Lmax[uH]</t>
  </si>
  <si>
    <t>L [H]</t>
  </si>
  <si>
    <t>L [uH]</t>
  </si>
  <si>
    <t>Iload [I]</t>
  </si>
  <si>
    <t>I_lmax [I]</t>
  </si>
  <si>
    <t>Cout [F]</t>
  </si>
  <si>
    <t>Cout [uF]</t>
  </si>
  <si>
    <t>wo ESR</t>
  </si>
  <si>
    <t>∆V [mV]</t>
  </si>
  <si>
    <t>Vfb</t>
  </si>
  <si>
    <t>enable</t>
  </si>
  <si>
    <t>Ven_min</t>
  </si>
  <si>
    <t>Vmin</t>
  </si>
  <si>
    <t>HIGH power LED driver calucations</t>
  </si>
  <si>
    <t>Riref</t>
  </si>
  <si>
    <t>K</t>
  </si>
  <si>
    <t>Vuiref</t>
  </si>
  <si>
    <t>Iset</t>
  </si>
  <si>
    <t>R</t>
  </si>
  <si>
    <t>clk</t>
  </si>
  <si>
    <t>PRESCALE</t>
  </si>
  <si>
    <t>clkout</t>
  </si>
  <si>
    <t>ADC</t>
  </si>
  <si>
    <t>light sense</t>
  </si>
  <si>
    <t>ref</t>
  </si>
  <si>
    <t>MHz</t>
  </si>
  <si>
    <t>IWD</t>
  </si>
  <si>
    <t>LSI</t>
  </si>
  <si>
    <t>prescaler</t>
  </si>
  <si>
    <t>ftick</t>
  </si>
  <si>
    <t>Reload</t>
  </si>
  <si>
    <t>Ttimeout</t>
  </si>
  <si>
    <t>s</t>
  </si>
  <si>
    <t>fclk</t>
  </si>
  <si>
    <t>ARR</t>
  </si>
  <si>
    <t>auto reload register</t>
  </si>
  <si>
    <t>fupdate</t>
  </si>
  <si>
    <t>new values</t>
  </si>
  <si>
    <t>32 bit</t>
  </si>
  <si>
    <t>kis motor DAC hiba</t>
  </si>
  <si>
    <t>U16</t>
  </si>
  <si>
    <t>U17</t>
  </si>
  <si>
    <t>U18</t>
  </si>
  <si>
    <t>U20</t>
  </si>
  <si>
    <t>U21</t>
  </si>
  <si>
    <t>U22</t>
  </si>
  <si>
    <t>led set hiba</t>
  </si>
  <si>
    <t>ID</t>
  </si>
  <si>
    <r>
      <t>s_motors_t</t>
    </r>
    <r>
      <rPr>
        <sz val="10"/>
        <color rgb="FF000000"/>
        <rFont val="Consolas"/>
        <family val="3"/>
        <charset val="238"/>
      </rPr>
      <t xml:space="preserve"> left_motor = { </t>
    </r>
    <r>
      <rPr>
        <sz val="10"/>
        <color rgb="FF2A00FF"/>
        <rFont val="Consolas"/>
        <family val="3"/>
        <charset val="238"/>
      </rPr>
      <t>"left"</t>
    </r>
    <r>
      <rPr>
        <sz val="10"/>
        <color rgb="FF000000"/>
        <rFont val="Consolas"/>
        <family val="3"/>
        <charset val="238"/>
      </rPr>
      <t>, 0, 0b0001000, 0b0001001, 0b0001010 };</t>
    </r>
  </si>
  <si>
    <r>
      <t>s_motors_t</t>
    </r>
    <r>
      <rPr>
        <sz val="10"/>
        <color rgb="FF000000"/>
        <rFont val="Consolas"/>
        <family val="3"/>
        <charset val="238"/>
      </rPr>
      <t xml:space="preserve"> right_motor = { </t>
    </r>
    <r>
      <rPr>
        <sz val="10"/>
        <color rgb="FF2A00FF"/>
        <rFont val="Consolas"/>
        <family val="3"/>
        <charset val="238"/>
      </rPr>
      <t>"right"</t>
    </r>
    <r>
      <rPr>
        <sz val="10"/>
        <color rgb="FF000000"/>
        <rFont val="Consolas"/>
        <family val="3"/>
        <charset val="238"/>
      </rPr>
      <t>, 0, 0b1001100, 0b1001101, 0b1001110 };</t>
    </r>
  </si>
  <si>
    <t>0b0001000</t>
  </si>
  <si>
    <t>0b0001001</t>
  </si>
  <si>
    <t>0b0001010</t>
  </si>
  <si>
    <t>0b1001100</t>
  </si>
  <si>
    <t>left</t>
  </si>
  <si>
    <t>right</t>
  </si>
  <si>
    <t>0b1001101</t>
  </si>
  <si>
    <t>0b1001110</t>
  </si>
  <si>
    <t>light sensors voltage divider</t>
  </si>
  <si>
    <t>Voltage measured</t>
  </si>
  <si>
    <t>dark</t>
  </si>
  <si>
    <t>light</t>
  </si>
  <si>
    <t>Divider</t>
  </si>
  <si>
    <t>lux</t>
  </si>
  <si>
    <t>Boost</t>
  </si>
  <si>
    <t>bit</t>
  </si>
  <si>
    <t>uint32t</t>
  </si>
  <si>
    <t>LED0</t>
  </si>
  <si>
    <t>LED1</t>
  </si>
  <si>
    <t>LED2</t>
  </si>
  <si>
    <t>LED3</t>
  </si>
  <si>
    <t>LED4</t>
  </si>
  <si>
    <t>LED5</t>
  </si>
  <si>
    <t>LED6</t>
  </si>
  <si>
    <t>LED7</t>
  </si>
  <si>
    <t>LED8</t>
  </si>
  <si>
    <t>LED9</t>
  </si>
  <si>
    <t>LED10</t>
  </si>
  <si>
    <t>LED11</t>
  </si>
  <si>
    <t>LED12</t>
  </si>
  <si>
    <t>LED13</t>
  </si>
  <si>
    <t>LED14</t>
  </si>
  <si>
    <t>LED15</t>
  </si>
  <si>
    <t>LED16</t>
  </si>
  <si>
    <t>LED17</t>
  </si>
  <si>
    <t>LED18</t>
  </si>
  <si>
    <t>LED19</t>
  </si>
  <si>
    <t>LED20</t>
  </si>
  <si>
    <t>LED21</t>
  </si>
  <si>
    <t>LED22</t>
  </si>
  <si>
    <t>LED23</t>
  </si>
  <si>
    <t>LED24</t>
  </si>
  <si>
    <t>LED25</t>
  </si>
  <si>
    <t>My_Error_code</t>
  </si>
  <si>
    <t>My_LED_Error_code</t>
  </si>
  <si>
    <t>LED INIT</t>
  </si>
  <si>
    <t>reset</t>
  </si>
  <si>
    <t>Config 0</t>
  </si>
  <si>
    <t>Config 1</t>
  </si>
  <si>
    <t>Bank brightness</t>
  </si>
  <si>
    <t>Color</t>
  </si>
  <si>
    <t>reserved</t>
  </si>
  <si>
    <t>LED SET</t>
  </si>
  <si>
    <t>ADC Error</t>
  </si>
  <si>
    <t>USB OV</t>
  </si>
  <si>
    <t>USB UV</t>
  </si>
  <si>
    <t>BOOST OV</t>
  </si>
  <si>
    <t>BOOST UV</t>
  </si>
  <si>
    <t>IWDG</t>
  </si>
  <si>
    <t>WWDF</t>
  </si>
  <si>
    <t>POR</t>
  </si>
  <si>
    <t>SW</t>
  </si>
  <si>
    <t>BOR</t>
  </si>
  <si>
    <t>last uC shutdown  reason</t>
  </si>
  <si>
    <t>DAC error</t>
  </si>
  <si>
    <t>task error</t>
  </si>
  <si>
    <t>Big motor</t>
  </si>
  <si>
    <t>left motor</t>
  </si>
  <si>
    <t>right motor</t>
  </si>
  <si>
    <t>left blink</t>
  </si>
  <si>
    <t>right blink</t>
  </si>
  <si>
    <t>adc</t>
  </si>
  <si>
    <t>LED driver</t>
  </si>
  <si>
    <t>hozzárendelt LED</t>
  </si>
  <si>
    <t>ABLAKOMOSO_SZINT</t>
  </si>
  <si>
    <t>AKSI</t>
  </si>
  <si>
    <t>ELSO_KOD</t>
  </si>
  <si>
    <t>HATSO_KOD</t>
  </si>
  <si>
    <t>LEGZSAK_HIBA</t>
  </si>
  <si>
    <t>MENETFENY</t>
  </si>
  <si>
    <t>LD_BG_1</t>
  </si>
  <si>
    <t>HATSO_ABLAK_FUTES</t>
  </si>
  <si>
    <t>DOBFEK</t>
  </si>
  <si>
    <t>UZEMANYAGSZINT</t>
  </si>
  <si>
    <t>INDEX_BALLRA</t>
  </si>
  <si>
    <t>LD_BG_2</t>
  </si>
  <si>
    <t>LD_BG_3</t>
  </si>
  <si>
    <t>LD_BG_4</t>
  </si>
  <si>
    <t>INDEX_JOBBRA</t>
  </si>
  <si>
    <t>HUTOVIZ</t>
  </si>
  <si>
    <t>POTTY</t>
  </si>
  <si>
    <t>LEGZSAK_KI</t>
  </si>
  <si>
    <t>LD_BG_5</t>
  </si>
  <si>
    <t>BIZTIOV</t>
  </si>
  <si>
    <t>KEZIFEK</t>
  </si>
  <si>
    <t>ABS</t>
  </si>
  <si>
    <t>NYITOTT_AJTO</t>
  </si>
  <si>
    <t>IZZITO</t>
  </si>
  <si>
    <t>OLAJNYOMAS</t>
  </si>
  <si>
    <t>CHECK_ENGINE</t>
  </si>
  <si>
    <t>Battery OV</t>
  </si>
  <si>
    <t>Battery UV</t>
  </si>
  <si>
    <t>used</t>
  </si>
  <si>
    <t>led brightness</t>
  </si>
  <si>
    <t>VAKU DIM 5%</t>
  </si>
  <si>
    <t>VAKU 100%</t>
  </si>
  <si>
    <t>U20 L1</t>
  </si>
  <si>
    <t>U21 L2</t>
  </si>
  <si>
    <t>U22 L3</t>
  </si>
  <si>
    <t>U16 R1</t>
  </si>
  <si>
    <t>U17 R2</t>
  </si>
  <si>
    <t>U18 R3</t>
  </si>
  <si>
    <t>battery</t>
  </si>
  <si>
    <t>ms</t>
  </si>
  <si>
    <t>prescale</t>
  </si>
  <si>
    <t>kmh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</si>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</sst>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0000"/>
    <numFmt numFmtId="167" formatCode="0.0000"/>
    <numFmt numFmtId="168" formatCode="0.00000"/>
  </numFmts>
  <fonts count="11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0"/>
      <color rgb="FF000000"/>
      <name val="Consolas"/>
      <family val="3"/>
      <charset val="238"/>
    </font>
    <font>
      <sz val="10"/>
      <color rgb="FF005032"/>
      <name val="Consolas"/>
      <family val="3"/>
      <charset val="238"/>
    </font>
    <font>
      <sz val="10"/>
      <color rgb="FF2A00FF"/>
      <name val="Consolas"/>
      <family val="3"/>
      <charset val="238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0" xfId="1"/>
    <xf numFmtId="0" fontId="1" fillId="0" borderId="0" xfId="1" applyFont="1"/>
    <xf numFmtId="0" fontId="4" fillId="0" borderId="0" xfId="1" applyFont="1"/>
    <xf numFmtId="165" fontId="5" fillId="0" borderId="0" xfId="1" applyNumberFormat="1" applyFont="1"/>
    <xf numFmtId="2" fontId="3" fillId="0" borderId="0" xfId="1" applyNumberFormat="1"/>
    <xf numFmtId="0" fontId="2" fillId="0" borderId="0" xfId="1" applyFont="1"/>
    <xf numFmtId="166" fontId="5" fillId="0" borderId="0" xfId="1" applyNumberFormat="1" applyFont="1"/>
    <xf numFmtId="0" fontId="5" fillId="0" borderId="0" xfId="1" applyFont="1"/>
    <xf numFmtId="2" fontId="6" fillId="0" borderId="0" xfId="1" applyNumberFormat="1" applyFont="1"/>
    <xf numFmtId="164" fontId="3" fillId="0" borderId="0" xfId="1" applyNumberFormat="1"/>
    <xf numFmtId="164" fontId="1" fillId="0" borderId="0" xfId="0" applyNumberFormat="1" applyFont="1"/>
    <xf numFmtId="0" fontId="7" fillId="0" borderId="0" xfId="0" applyFont="1"/>
    <xf numFmtId="0" fontId="6" fillId="0" borderId="0" xfId="1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5" xfId="0" applyBorder="1"/>
    <xf numFmtId="0" fontId="7" fillId="0" borderId="0" xfId="0" applyFont="1" applyBorder="1"/>
    <xf numFmtId="168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5" xfId="0" applyNumberFormat="1" applyBorder="1"/>
  </cellXfs>
  <cellStyles count="2">
    <cellStyle name="Normál" xfId="0" builtinId="0"/>
    <cellStyle name="Normál 2" xfId="1" xr:uid="{FDDC95F3-2771-41BD-88D7-B733C35D5A69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0.xml"/><Relationship Id="rId2" Type="http://schemas.openxmlformats.org/officeDocument/2006/relationships/worksheet" Target="worksheets/sheet2.xml"/><Relationship Id="rId16" Type="http://schemas.microsoft.com/office/2017/10/relationships/person" Target="persons/pers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motors!$F$2</c:f>
              <c:strCache>
                <c:ptCount val="1"/>
                <c:pt idx="0">
                  <c:v>pos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motors!$E$3:$E$23</c:f>
              <c:numCache>
                <c:formatCode>General</c:formatCode>
                <c:ptCount val="2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</c:numCache>
            </c:numRef>
          </c:cat>
          <c:val>
            <c:numRef>
              <c:f>motors!$F$4:$F$23</c:f>
              <c:numCache>
                <c:formatCode>General</c:formatCode>
                <c:ptCount val="20"/>
                <c:pt idx="0">
                  <c:v>19</c:v>
                </c:pt>
                <c:pt idx="1">
                  <c:v>38</c:v>
                </c:pt>
                <c:pt idx="2">
                  <c:v>51</c:v>
                </c:pt>
                <c:pt idx="3">
                  <c:v>73</c:v>
                </c:pt>
                <c:pt idx="4">
                  <c:v>90</c:v>
                </c:pt>
                <c:pt idx="5">
                  <c:v>106</c:v>
                </c:pt>
                <c:pt idx="6">
                  <c:v>122</c:v>
                </c:pt>
                <c:pt idx="7">
                  <c:v>137</c:v>
                </c:pt>
                <c:pt idx="8">
                  <c:v>153</c:v>
                </c:pt>
                <c:pt idx="9">
                  <c:v>169</c:v>
                </c:pt>
                <c:pt idx="10">
                  <c:v>185</c:v>
                </c:pt>
                <c:pt idx="11">
                  <c:v>202</c:v>
                </c:pt>
                <c:pt idx="12">
                  <c:v>218</c:v>
                </c:pt>
                <c:pt idx="13">
                  <c:v>238</c:v>
                </c:pt>
                <c:pt idx="14">
                  <c:v>253</c:v>
                </c:pt>
                <c:pt idx="15">
                  <c:v>270</c:v>
                </c:pt>
                <c:pt idx="16">
                  <c:v>285</c:v>
                </c:pt>
                <c:pt idx="17">
                  <c:v>305</c:v>
                </c:pt>
                <c:pt idx="18">
                  <c:v>320</c:v>
                </c:pt>
                <c:pt idx="19">
                  <c:v>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0A-46D1-A84E-F743D0B12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933823"/>
        <c:axId val="1799934303"/>
      </c:lineChart>
      <c:catAx>
        <c:axId val="17999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99934303"/>
        <c:crosses val="autoZero"/>
        <c:auto val="1"/>
        <c:lblAlgn val="ctr"/>
        <c:lblOffset val="100"/>
        <c:noMultiLvlLbl val="0"/>
      </c:catAx>
      <c:valAx>
        <c:axId val="179993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9993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16</xdr:row>
      <xdr:rowOff>162873</xdr:rowOff>
    </xdr:from>
    <xdr:to>
      <xdr:col>11</xdr:col>
      <xdr:colOff>93959</xdr:colOff>
      <xdr:row>29</xdr:row>
      <xdr:rowOff>113826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7EC6A2F-DBF3-CA9D-2DB4-589D7B8D0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210873"/>
          <a:ext cx="6628109" cy="24274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6</xdr:col>
      <xdr:colOff>237867</xdr:colOff>
      <xdr:row>11</xdr:row>
      <xdr:rowOff>133143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CA5F14F-744B-4292-B4C5-F110C6382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571500"/>
          <a:ext cx="2066667" cy="16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11</xdr:row>
      <xdr:rowOff>76200</xdr:rowOff>
    </xdr:from>
    <xdr:to>
      <xdr:col>7</xdr:col>
      <xdr:colOff>409024</xdr:colOff>
      <xdr:row>41</xdr:row>
      <xdr:rowOff>56438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F4C1826F-D99D-40BE-9F46-F0F36A4B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2171700"/>
          <a:ext cx="4409524" cy="56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285749</xdr:colOff>
      <xdr:row>1</xdr:row>
      <xdr:rowOff>138111</xdr:rowOff>
    </xdr:from>
    <xdr:to>
      <xdr:col>23</xdr:col>
      <xdr:colOff>114300</xdr:colOff>
      <xdr:row>29</xdr:row>
      <xdr:rowOff>142874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0602AC7-D147-1DE0-D402-28D04FEA8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CF19-635F-4613-B4E0-40DBF2342777}">
  <dimension ref="C2:Q29"/>
  <sheetViews>
    <sheetView workbookViewId="0">
      <selection activeCell="M20" sqref="M20"/>
    </sheetView>
  </sheetViews>
  <sheetFormatPr defaultRowHeight="15" x14ac:dyDescent="0.25"/>
  <sheetData>
    <row r="2" spans="3:17" x14ac:dyDescent="0.25">
      <c r="D2" t="s">
        <v>1</v>
      </c>
      <c r="I2" t="s">
        <v>1</v>
      </c>
    </row>
    <row r="3" spans="3:17" x14ac:dyDescent="0.25">
      <c r="C3" s="28" t="s">
        <v>12</v>
      </c>
      <c r="D3" t="s">
        <v>0</v>
      </c>
      <c r="E3" s="1">
        <v>3.3</v>
      </c>
      <c r="F3" t="s">
        <v>3</v>
      </c>
      <c r="H3" s="28" t="s">
        <v>15</v>
      </c>
      <c r="I3" t="s">
        <v>0</v>
      </c>
      <c r="J3" s="1">
        <v>3.3</v>
      </c>
      <c r="K3" t="s">
        <v>3</v>
      </c>
    </row>
    <row r="4" spans="3:17" x14ac:dyDescent="0.25">
      <c r="C4" s="28"/>
      <c r="D4" t="s">
        <v>5</v>
      </c>
      <c r="E4" s="1">
        <v>0.6</v>
      </c>
      <c r="F4" t="s">
        <v>3</v>
      </c>
      <c r="H4" s="28"/>
      <c r="I4" t="s">
        <v>5</v>
      </c>
      <c r="J4" s="1">
        <v>0.6</v>
      </c>
      <c r="K4" t="s">
        <v>3</v>
      </c>
    </row>
    <row r="5" spans="3:17" x14ac:dyDescent="0.25">
      <c r="C5" s="28"/>
      <c r="D5" t="s">
        <v>2</v>
      </c>
      <c r="E5" s="1">
        <v>2E-3</v>
      </c>
      <c r="F5" t="s">
        <v>4</v>
      </c>
      <c r="H5" s="28"/>
      <c r="I5" t="s">
        <v>2</v>
      </c>
      <c r="J5" s="1">
        <v>2E-3</v>
      </c>
      <c r="K5" t="s">
        <v>4</v>
      </c>
    </row>
    <row r="6" spans="3:17" x14ac:dyDescent="0.25">
      <c r="C6" s="28"/>
      <c r="D6" t="s">
        <v>11</v>
      </c>
      <c r="E6" s="1">
        <v>2</v>
      </c>
      <c r="F6" t="s">
        <v>3</v>
      </c>
      <c r="H6" s="28"/>
      <c r="I6" t="s">
        <v>11</v>
      </c>
      <c r="J6" s="1">
        <v>1.8</v>
      </c>
      <c r="K6" t="s">
        <v>3</v>
      </c>
    </row>
    <row r="7" spans="3:17" x14ac:dyDescent="0.25">
      <c r="C7" s="28"/>
      <c r="D7" t="s">
        <v>10</v>
      </c>
      <c r="E7">
        <f>E3-E4-E6</f>
        <v>0.69999999999999973</v>
      </c>
      <c r="F7" t="s">
        <v>3</v>
      </c>
      <c r="H7" s="28"/>
      <c r="I7" t="s">
        <v>10</v>
      </c>
      <c r="J7">
        <f>J3-J4-J6</f>
        <v>0.89999999999999969</v>
      </c>
      <c r="K7" t="s">
        <v>3</v>
      </c>
    </row>
    <row r="8" spans="3:17" x14ac:dyDescent="0.25">
      <c r="C8" s="28"/>
      <c r="D8" t="s">
        <v>6</v>
      </c>
      <c r="E8">
        <f>E7/E5</f>
        <v>349.99999999999989</v>
      </c>
      <c r="F8" t="s">
        <v>9</v>
      </c>
      <c r="H8" s="28"/>
      <c r="I8" t="s">
        <v>6</v>
      </c>
      <c r="J8">
        <f>J7/J5</f>
        <v>449.99999999999983</v>
      </c>
      <c r="K8" t="s">
        <v>9</v>
      </c>
    </row>
    <row r="9" spans="3:17" x14ac:dyDescent="0.25">
      <c r="C9" s="28"/>
      <c r="D9" t="s">
        <v>7</v>
      </c>
      <c r="E9">
        <f>E5*E5*E8</f>
        <v>1.3999999999999996E-3</v>
      </c>
      <c r="F9" t="s">
        <v>8</v>
      </c>
      <c r="H9" s="28"/>
      <c r="I9" t="s">
        <v>7</v>
      </c>
      <c r="J9">
        <f>J5*J5*J8</f>
        <v>1.7999999999999993E-3</v>
      </c>
      <c r="K9" t="s">
        <v>8</v>
      </c>
    </row>
    <row r="13" spans="3:17" x14ac:dyDescent="0.25">
      <c r="C13" s="28" t="s">
        <v>13</v>
      </c>
      <c r="D13" t="s">
        <v>0</v>
      </c>
      <c r="E13">
        <v>5</v>
      </c>
      <c r="F13" t="s">
        <v>3</v>
      </c>
      <c r="I13" t="s">
        <v>16</v>
      </c>
      <c r="O13" t="s">
        <v>47</v>
      </c>
    </row>
    <row r="14" spans="3:17" x14ac:dyDescent="0.25">
      <c r="C14" s="28"/>
      <c r="D14" t="s">
        <v>5</v>
      </c>
      <c r="E14">
        <v>0</v>
      </c>
      <c r="F14" t="s">
        <v>3</v>
      </c>
      <c r="H14" s="28" t="s">
        <v>12</v>
      </c>
      <c r="I14" t="s">
        <v>0</v>
      </c>
      <c r="J14" s="1">
        <v>3.3</v>
      </c>
      <c r="K14" t="s">
        <v>3</v>
      </c>
      <c r="N14" s="28" t="s">
        <v>51</v>
      </c>
      <c r="O14" t="s">
        <v>0</v>
      </c>
      <c r="P14" s="1">
        <v>12</v>
      </c>
      <c r="Q14" t="s">
        <v>3</v>
      </c>
    </row>
    <row r="15" spans="3:17" x14ac:dyDescent="0.25">
      <c r="C15" s="28"/>
      <c r="D15" t="s">
        <v>2</v>
      </c>
      <c r="E15">
        <v>2E-3</v>
      </c>
      <c r="F15" t="s">
        <v>4</v>
      </c>
      <c r="H15" s="28"/>
      <c r="I15" t="s">
        <v>5</v>
      </c>
      <c r="J15" s="1">
        <v>0</v>
      </c>
      <c r="K15" t="s">
        <v>3</v>
      </c>
      <c r="N15" s="28"/>
      <c r="O15" t="s">
        <v>5</v>
      </c>
      <c r="P15" s="1">
        <v>0</v>
      </c>
      <c r="Q15" t="s">
        <v>3</v>
      </c>
    </row>
    <row r="16" spans="3:17" x14ac:dyDescent="0.25">
      <c r="C16" s="28"/>
      <c r="D16" t="s">
        <v>11</v>
      </c>
      <c r="E16">
        <v>2.6</v>
      </c>
      <c r="F16" t="s">
        <v>3</v>
      </c>
      <c r="H16" s="28"/>
      <c r="I16" t="s">
        <v>2</v>
      </c>
      <c r="J16" s="1">
        <v>2E-3</v>
      </c>
      <c r="K16" t="s">
        <v>4</v>
      </c>
      <c r="N16" s="28"/>
      <c r="O16" t="s">
        <v>2</v>
      </c>
      <c r="P16" s="1">
        <v>2E-3</v>
      </c>
      <c r="Q16" t="s">
        <v>4</v>
      </c>
    </row>
    <row r="17" spans="3:17" x14ac:dyDescent="0.25">
      <c r="C17" s="28"/>
      <c r="D17" t="s">
        <v>10</v>
      </c>
      <c r="E17">
        <f>E13-E14-E16</f>
        <v>2.4</v>
      </c>
      <c r="F17" t="s">
        <v>3</v>
      </c>
      <c r="H17" s="28"/>
      <c r="I17" t="s">
        <v>11</v>
      </c>
      <c r="J17" s="1">
        <v>2</v>
      </c>
      <c r="K17" t="s">
        <v>3</v>
      </c>
      <c r="N17" s="28"/>
      <c r="O17" t="s">
        <v>11</v>
      </c>
      <c r="P17" s="1">
        <v>2</v>
      </c>
      <c r="Q17" t="s">
        <v>3</v>
      </c>
    </row>
    <row r="18" spans="3:17" x14ac:dyDescent="0.25">
      <c r="C18" s="28"/>
      <c r="D18" t="s">
        <v>6</v>
      </c>
      <c r="E18">
        <f>E17/E15</f>
        <v>1200</v>
      </c>
      <c r="F18" t="s">
        <v>9</v>
      </c>
      <c r="H18" s="28"/>
      <c r="I18" t="s">
        <v>10</v>
      </c>
      <c r="J18">
        <f>J14-J15-J17</f>
        <v>1.2999999999999998</v>
      </c>
      <c r="K18" t="s">
        <v>3</v>
      </c>
      <c r="N18" s="28"/>
      <c r="O18" t="s">
        <v>10</v>
      </c>
      <c r="P18">
        <f>P14-P15-P17</f>
        <v>10</v>
      </c>
      <c r="Q18" t="s">
        <v>3</v>
      </c>
    </row>
    <row r="19" spans="3:17" x14ac:dyDescent="0.25">
      <c r="C19" s="28"/>
      <c r="D19" t="s">
        <v>7</v>
      </c>
      <c r="E19">
        <f>E15*E15*E18</f>
        <v>4.7999999999999996E-3</v>
      </c>
      <c r="F19" t="s">
        <v>8</v>
      </c>
      <c r="H19" s="28"/>
      <c r="I19" t="s">
        <v>6</v>
      </c>
      <c r="J19">
        <f>J18/J16</f>
        <v>649.99999999999989</v>
      </c>
      <c r="K19" t="s">
        <v>9</v>
      </c>
      <c r="N19" s="28"/>
      <c r="O19" t="s">
        <v>6</v>
      </c>
      <c r="P19">
        <f>P18/P16</f>
        <v>5000</v>
      </c>
      <c r="Q19" t="s">
        <v>9</v>
      </c>
    </row>
    <row r="20" spans="3:17" x14ac:dyDescent="0.25">
      <c r="H20" s="28"/>
      <c r="I20" t="s">
        <v>7</v>
      </c>
      <c r="J20">
        <f>J16*J16*J19</f>
        <v>2.5999999999999994E-3</v>
      </c>
      <c r="K20" t="s">
        <v>8</v>
      </c>
      <c r="N20" s="28"/>
      <c r="O20" t="s">
        <v>7</v>
      </c>
      <c r="P20">
        <f>P16*P16*P19</f>
        <v>0.02</v>
      </c>
      <c r="Q20" t="s">
        <v>8</v>
      </c>
    </row>
    <row r="23" spans="3:17" x14ac:dyDescent="0.25">
      <c r="C23" s="28" t="s">
        <v>14</v>
      </c>
      <c r="D23" t="s">
        <v>0</v>
      </c>
      <c r="E23">
        <v>3.3</v>
      </c>
      <c r="F23" t="s">
        <v>3</v>
      </c>
    </row>
    <row r="24" spans="3:17" x14ac:dyDescent="0.25">
      <c r="C24" s="28"/>
      <c r="D24" t="s">
        <v>5</v>
      </c>
      <c r="E24">
        <v>0</v>
      </c>
      <c r="F24" t="s">
        <v>3</v>
      </c>
    </row>
    <row r="25" spans="3:17" x14ac:dyDescent="0.25">
      <c r="C25" s="28"/>
      <c r="D25" t="s">
        <v>2</v>
      </c>
      <c r="E25">
        <v>2E-3</v>
      </c>
      <c r="F25" t="s">
        <v>4</v>
      </c>
    </row>
    <row r="26" spans="3:17" x14ac:dyDescent="0.25">
      <c r="C26" s="28"/>
      <c r="D26" t="s">
        <v>11</v>
      </c>
      <c r="E26">
        <v>1.8</v>
      </c>
      <c r="F26" t="s">
        <v>3</v>
      </c>
    </row>
    <row r="27" spans="3:17" x14ac:dyDescent="0.25">
      <c r="C27" s="28"/>
      <c r="D27" t="s">
        <v>10</v>
      </c>
      <c r="E27">
        <f>E23-E24-E26</f>
        <v>1.4999999999999998</v>
      </c>
      <c r="F27" t="s">
        <v>3</v>
      </c>
    </row>
    <row r="28" spans="3:17" x14ac:dyDescent="0.25">
      <c r="C28" s="28"/>
      <c r="D28" t="s">
        <v>6</v>
      </c>
      <c r="E28">
        <f>E27/E25</f>
        <v>749.99999999999989</v>
      </c>
      <c r="F28" t="s">
        <v>9</v>
      </c>
    </row>
    <row r="29" spans="3:17" x14ac:dyDescent="0.25">
      <c r="C29" s="28"/>
      <c r="D29" t="s">
        <v>7</v>
      </c>
      <c r="E29">
        <f>E25*E25*E28</f>
        <v>2.9999999999999992E-3</v>
      </c>
      <c r="F29" t="s">
        <v>8</v>
      </c>
    </row>
  </sheetData>
  <mergeCells count="6">
    <mergeCell ref="N14:N20"/>
    <mergeCell ref="C3:C9"/>
    <mergeCell ref="C13:C19"/>
    <mergeCell ref="C23:C29"/>
    <mergeCell ref="H3:H9"/>
    <mergeCell ref="H14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CA53-AB42-466D-B84A-88EBF1CAB502}">
  <dimension ref="D6:X22"/>
  <sheetViews>
    <sheetView workbookViewId="0">
      <selection activeCell="E27" sqref="E27"/>
    </sheetView>
  </sheetViews>
  <sheetFormatPr defaultRowHeight="15" x14ac:dyDescent="0.25"/>
  <sheetData>
    <row r="6" spans="4:24" x14ac:dyDescent="0.25">
      <c r="D6" s="28" t="s">
        <v>17</v>
      </c>
      <c r="E6" t="s">
        <v>0</v>
      </c>
      <c r="F6">
        <v>3.3</v>
      </c>
      <c r="G6" t="s">
        <v>3</v>
      </c>
      <c r="I6" s="28" t="s">
        <v>18</v>
      </c>
      <c r="J6" t="s">
        <v>0</v>
      </c>
      <c r="K6">
        <v>3.3</v>
      </c>
      <c r="L6" t="s">
        <v>3</v>
      </c>
      <c r="N6" s="28" t="s">
        <v>19</v>
      </c>
      <c r="O6" t="s">
        <v>0</v>
      </c>
      <c r="P6">
        <v>3.3</v>
      </c>
      <c r="Q6" t="s">
        <v>3</v>
      </c>
      <c r="S6" s="28" t="s">
        <v>20</v>
      </c>
      <c r="T6" t="s">
        <v>0</v>
      </c>
      <c r="U6">
        <v>3.3</v>
      </c>
      <c r="V6" t="s">
        <v>3</v>
      </c>
      <c r="X6" s="28"/>
    </row>
    <row r="7" spans="4:24" x14ac:dyDescent="0.25">
      <c r="D7" s="28"/>
      <c r="E7" t="s">
        <v>5</v>
      </c>
      <c r="F7">
        <v>0</v>
      </c>
      <c r="G7" t="s">
        <v>3</v>
      </c>
      <c r="I7" s="28"/>
      <c r="J7" t="s">
        <v>5</v>
      </c>
      <c r="K7">
        <v>0</v>
      </c>
      <c r="L7" t="s">
        <v>3</v>
      </c>
      <c r="N7" s="28"/>
      <c r="O7" t="s">
        <v>5</v>
      </c>
      <c r="P7">
        <v>0</v>
      </c>
      <c r="Q7" t="s">
        <v>3</v>
      </c>
      <c r="S7" s="28"/>
      <c r="T7" t="s">
        <v>5</v>
      </c>
      <c r="U7">
        <v>0</v>
      </c>
      <c r="V7" t="s">
        <v>3</v>
      </c>
      <c r="X7" s="28"/>
    </row>
    <row r="8" spans="4:24" x14ac:dyDescent="0.25">
      <c r="D8" s="28"/>
      <c r="E8" t="s">
        <v>2</v>
      </c>
      <c r="F8">
        <v>0.02</v>
      </c>
      <c r="G8" t="s">
        <v>4</v>
      </c>
      <c r="I8" s="28"/>
      <c r="J8" t="s">
        <v>2</v>
      </c>
      <c r="K8">
        <v>0.02</v>
      </c>
      <c r="L8" t="s">
        <v>4</v>
      </c>
      <c r="N8" s="28"/>
      <c r="O8" t="s">
        <v>2</v>
      </c>
      <c r="P8">
        <v>0.02</v>
      </c>
      <c r="Q8" t="s">
        <v>4</v>
      </c>
      <c r="S8" s="28"/>
      <c r="T8" t="s">
        <v>2</v>
      </c>
      <c r="U8">
        <v>0.02</v>
      </c>
      <c r="V8" t="s">
        <v>4</v>
      </c>
      <c r="X8" s="28"/>
    </row>
    <row r="9" spans="4:24" x14ac:dyDescent="0.25">
      <c r="D9" s="28"/>
      <c r="E9" t="s">
        <v>11</v>
      </c>
      <c r="F9">
        <v>2.1</v>
      </c>
      <c r="G9" t="s">
        <v>3</v>
      </c>
      <c r="I9" s="28"/>
      <c r="J9" t="s">
        <v>11</v>
      </c>
      <c r="K9">
        <v>1.9</v>
      </c>
      <c r="L9" t="s">
        <v>3</v>
      </c>
      <c r="N9" s="28"/>
      <c r="O9" t="s">
        <v>11</v>
      </c>
      <c r="P9">
        <v>1.9</v>
      </c>
      <c r="Q9" t="s">
        <v>3</v>
      </c>
      <c r="S9" s="28"/>
      <c r="T9" t="s">
        <v>11</v>
      </c>
      <c r="U9">
        <v>3</v>
      </c>
      <c r="V9" t="s">
        <v>3</v>
      </c>
      <c r="X9" s="28"/>
    </row>
    <row r="10" spans="4:24" x14ac:dyDescent="0.25">
      <c r="D10" s="28"/>
      <c r="E10" t="s">
        <v>10</v>
      </c>
      <c r="F10">
        <f>F6-F7-F9</f>
        <v>1.1999999999999997</v>
      </c>
      <c r="G10" t="s">
        <v>3</v>
      </c>
      <c r="I10" s="28"/>
      <c r="J10" t="s">
        <v>10</v>
      </c>
      <c r="K10">
        <f>K6-K7-K9</f>
        <v>1.4</v>
      </c>
      <c r="L10" t="s">
        <v>3</v>
      </c>
      <c r="N10" s="28"/>
      <c r="O10" t="s">
        <v>10</v>
      </c>
      <c r="P10">
        <f>P6-P7-P9</f>
        <v>1.4</v>
      </c>
      <c r="Q10" t="s">
        <v>3</v>
      </c>
      <c r="S10" s="28"/>
      <c r="T10" t="s">
        <v>10</v>
      </c>
      <c r="U10">
        <f>U6-U7-U9</f>
        <v>0.29999999999999982</v>
      </c>
      <c r="V10" t="s">
        <v>3</v>
      </c>
      <c r="X10" s="28"/>
    </row>
    <row r="11" spans="4:24" x14ac:dyDescent="0.25">
      <c r="D11" s="28"/>
      <c r="E11" t="s">
        <v>6</v>
      </c>
      <c r="F11">
        <f>F10/F8</f>
        <v>59.999999999999986</v>
      </c>
      <c r="G11" t="s">
        <v>9</v>
      </c>
      <c r="I11" s="28"/>
      <c r="J11" t="s">
        <v>6</v>
      </c>
      <c r="K11">
        <f>K10/K8</f>
        <v>70</v>
      </c>
      <c r="L11" t="s">
        <v>9</v>
      </c>
      <c r="N11" s="28"/>
      <c r="O11" t="s">
        <v>6</v>
      </c>
      <c r="P11">
        <f>P10/P8</f>
        <v>70</v>
      </c>
      <c r="Q11" t="s">
        <v>9</v>
      </c>
      <c r="S11" s="28"/>
      <c r="T11" t="s">
        <v>6</v>
      </c>
      <c r="U11">
        <f>U10/U8</f>
        <v>14.999999999999991</v>
      </c>
      <c r="V11" t="s">
        <v>9</v>
      </c>
      <c r="X11" s="28"/>
    </row>
    <row r="12" spans="4:24" x14ac:dyDescent="0.25">
      <c r="D12" s="28"/>
      <c r="E12" t="s">
        <v>7</v>
      </c>
      <c r="F12">
        <f>F8*F8*F11</f>
        <v>2.3999999999999997E-2</v>
      </c>
      <c r="G12" t="s">
        <v>8</v>
      </c>
      <c r="I12" s="28"/>
      <c r="J12" t="s">
        <v>7</v>
      </c>
      <c r="K12">
        <f>K8*K8*K11</f>
        <v>2.8000000000000001E-2</v>
      </c>
      <c r="L12" t="s">
        <v>8</v>
      </c>
      <c r="N12" s="28"/>
      <c r="O12" t="s">
        <v>7</v>
      </c>
      <c r="P12">
        <f>P8*P8*P11</f>
        <v>2.8000000000000001E-2</v>
      </c>
      <c r="Q12" t="s">
        <v>8</v>
      </c>
      <c r="S12" s="28"/>
      <c r="T12" t="s">
        <v>7</v>
      </c>
      <c r="U12">
        <f>U8*U8*U11</f>
        <v>5.9999999999999967E-3</v>
      </c>
      <c r="V12" t="s">
        <v>8</v>
      </c>
      <c r="X12" s="28"/>
    </row>
    <row r="16" spans="4:24" x14ac:dyDescent="0.25">
      <c r="D16" s="28"/>
    </row>
    <row r="17" spans="4:4" x14ac:dyDescent="0.25">
      <c r="D17" s="28"/>
    </row>
    <row r="18" spans="4:4" x14ac:dyDescent="0.25">
      <c r="D18" s="28"/>
    </row>
    <row r="19" spans="4:4" x14ac:dyDescent="0.25">
      <c r="D19" s="28"/>
    </row>
    <row r="20" spans="4:4" x14ac:dyDescent="0.25">
      <c r="D20" s="28"/>
    </row>
    <row r="21" spans="4:4" x14ac:dyDescent="0.25">
      <c r="D21" s="28"/>
    </row>
    <row r="22" spans="4:4" x14ac:dyDescent="0.25">
      <c r="D22" s="28"/>
    </row>
  </sheetData>
  <mergeCells count="6">
    <mergeCell ref="X6:X12"/>
    <mergeCell ref="D16:D22"/>
    <mergeCell ref="D6:D12"/>
    <mergeCell ref="I6:I12"/>
    <mergeCell ref="N6:N12"/>
    <mergeCell ref="S6:S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75F1-2A1C-4572-B7C2-C69630A222D4}">
  <dimension ref="D3:O20"/>
  <sheetViews>
    <sheetView workbookViewId="0">
      <selection activeCell="D36" sqref="D36"/>
    </sheetView>
  </sheetViews>
  <sheetFormatPr defaultRowHeight="15" x14ac:dyDescent="0.25"/>
  <cols>
    <col min="5" max="5" width="13.28515625" bestFit="1" customWidth="1"/>
    <col min="15" max="15" width="13.28515625" bestFit="1" customWidth="1"/>
  </cols>
  <sheetData>
    <row r="3" spans="4:15" x14ac:dyDescent="0.25">
      <c r="D3" t="s">
        <v>21</v>
      </c>
      <c r="E3" s="1">
        <v>12</v>
      </c>
      <c r="F3" t="s">
        <v>3</v>
      </c>
    </row>
    <row r="4" spans="4:15" x14ac:dyDescent="0.25">
      <c r="D4" t="s">
        <v>22</v>
      </c>
      <c r="E4" s="1">
        <v>0.1</v>
      </c>
      <c r="F4" t="s">
        <v>4</v>
      </c>
    </row>
    <row r="5" spans="4:15" x14ac:dyDescent="0.25">
      <c r="D5" t="s">
        <v>23</v>
      </c>
      <c r="E5" s="1">
        <v>5</v>
      </c>
      <c r="F5" t="s">
        <v>3</v>
      </c>
    </row>
    <row r="6" spans="4:15" x14ac:dyDescent="0.25">
      <c r="D6" t="s">
        <v>24</v>
      </c>
      <c r="E6" s="1">
        <v>75</v>
      </c>
      <c r="F6" t="s">
        <v>25</v>
      </c>
    </row>
    <row r="7" spans="4:15" x14ac:dyDescent="0.25">
      <c r="D7" t="s">
        <v>26</v>
      </c>
      <c r="E7">
        <f>I7*10^3</f>
        <v>1050000</v>
      </c>
      <c r="F7" t="s">
        <v>27</v>
      </c>
      <c r="I7">
        <v>1050</v>
      </c>
      <c r="J7" t="s">
        <v>28</v>
      </c>
    </row>
    <row r="8" spans="4:15" x14ac:dyDescent="0.25">
      <c r="D8" t="s">
        <v>29</v>
      </c>
      <c r="E8" s="1">
        <v>75</v>
      </c>
      <c r="F8" t="s">
        <v>25</v>
      </c>
    </row>
    <row r="9" spans="4:15" x14ac:dyDescent="0.25">
      <c r="D9" t="s">
        <v>30</v>
      </c>
      <c r="E9" s="1">
        <v>0.1</v>
      </c>
      <c r="F9" t="s">
        <v>3</v>
      </c>
    </row>
    <row r="10" spans="4:15" x14ac:dyDescent="0.25">
      <c r="D10" t="s">
        <v>31</v>
      </c>
      <c r="E10">
        <f>I10*10^-9*100</f>
        <v>2.0000000000000002E-5</v>
      </c>
      <c r="F10" t="s">
        <v>4</v>
      </c>
      <c r="I10">
        <v>200</v>
      </c>
      <c r="J10" t="s">
        <v>32</v>
      </c>
    </row>
    <row r="11" spans="4:15" x14ac:dyDescent="0.25">
      <c r="D11" t="s">
        <v>33</v>
      </c>
      <c r="E11" s="1">
        <v>0.79500000000000004</v>
      </c>
      <c r="F11" t="s">
        <v>3</v>
      </c>
    </row>
    <row r="13" spans="4:15" x14ac:dyDescent="0.25">
      <c r="D13" t="s">
        <v>34</v>
      </c>
      <c r="E13" s="16">
        <v>2.2000000000000002</v>
      </c>
      <c r="F13" s="3" t="s">
        <v>35</v>
      </c>
      <c r="I13" s="4">
        <v>2200</v>
      </c>
      <c r="J13" s="3" t="s">
        <v>36</v>
      </c>
      <c r="N13" t="s">
        <v>37</v>
      </c>
      <c r="O13">
        <v>22100</v>
      </c>
    </row>
    <row r="14" spans="4:15" x14ac:dyDescent="0.25">
      <c r="D14" t="s">
        <v>37</v>
      </c>
      <c r="E14" s="2">
        <f>(E3/E11-1)*E13</f>
        <v>31.007547169811321</v>
      </c>
      <c r="F14" s="3" t="s">
        <v>35</v>
      </c>
      <c r="I14" s="4">
        <f>E14*1000</f>
        <v>31007.547169811322</v>
      </c>
      <c r="J14" s="3" t="s">
        <v>36</v>
      </c>
      <c r="N14" t="s">
        <v>34</v>
      </c>
      <c r="O14">
        <v>1500</v>
      </c>
    </row>
    <row r="15" spans="4:15" x14ac:dyDescent="0.25">
      <c r="N15" t="s">
        <v>21</v>
      </c>
      <c r="O15">
        <f>((O13/O14)+1)*E11</f>
        <v>12.507999999999999</v>
      </c>
    </row>
    <row r="17" spans="4:10" x14ac:dyDescent="0.25">
      <c r="D17" t="s">
        <v>38</v>
      </c>
      <c r="E17">
        <f>E3*E4/(E5*E6)</f>
        <v>3.2000000000000006E-3</v>
      </c>
      <c r="F17" t="s">
        <v>39</v>
      </c>
      <c r="I17">
        <f>E17*10^3</f>
        <v>3.2000000000000006</v>
      </c>
      <c r="J17" t="s">
        <v>40</v>
      </c>
    </row>
    <row r="18" spans="4:10" x14ac:dyDescent="0.25">
      <c r="D18" t="s">
        <v>41</v>
      </c>
      <c r="E18">
        <f>(E5*(E3+0.8-E5))/(E17*E7*(E3+0.8))</f>
        <v>9.0680803571428553E-4</v>
      </c>
      <c r="F18" t="s">
        <v>4</v>
      </c>
      <c r="I18">
        <f>E18*10^3</f>
        <v>0.90680803571428548</v>
      </c>
      <c r="J18" t="s">
        <v>42</v>
      </c>
    </row>
    <row r="19" spans="4:10" x14ac:dyDescent="0.25">
      <c r="D19" t="s">
        <v>43</v>
      </c>
      <c r="E19">
        <f>E4+E18/2</f>
        <v>0.10045340401785714</v>
      </c>
      <c r="F19" t="s">
        <v>4</v>
      </c>
      <c r="I19">
        <f>E19*10^3</f>
        <v>100.45340401785714</v>
      </c>
      <c r="J19" t="s">
        <v>42</v>
      </c>
    </row>
    <row r="20" spans="4:10" x14ac:dyDescent="0.25">
      <c r="D20" t="s">
        <v>44</v>
      </c>
      <c r="E20">
        <f>E4*E8/(E7*E9)</f>
        <v>7.1428571428571434E-5</v>
      </c>
      <c r="F20" t="s">
        <v>45</v>
      </c>
      <c r="I20">
        <f>E20*10^6</f>
        <v>71.428571428571431</v>
      </c>
      <c r="J20" t="s">
        <v>46</v>
      </c>
    </row>
  </sheetData>
  <conditionalFormatting sqref="I14">
    <cfRule type="cellIs" dxfId="1" priority="1" operator="greaterThan">
      <formula>80000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7B36-F02D-49C1-9B3B-7076C580F1C0}">
  <dimension ref="D9:K14"/>
  <sheetViews>
    <sheetView workbookViewId="0">
      <selection activeCell="J12" sqref="J12"/>
    </sheetView>
  </sheetViews>
  <sheetFormatPr defaultRowHeight="15" x14ac:dyDescent="0.25"/>
  <cols>
    <col min="5" max="5" width="13.28515625" bestFit="1" customWidth="1"/>
    <col min="10" max="10" width="13.28515625" bestFit="1" customWidth="1"/>
  </cols>
  <sheetData>
    <row r="9" spans="4:11" x14ac:dyDescent="0.25">
      <c r="D9" t="s">
        <v>76</v>
      </c>
    </row>
    <row r="11" spans="4:11" x14ac:dyDescent="0.25">
      <c r="D11" t="s">
        <v>78</v>
      </c>
      <c r="E11">
        <v>105</v>
      </c>
      <c r="I11" t="s">
        <v>81</v>
      </c>
      <c r="J11">
        <v>3200</v>
      </c>
    </row>
    <row r="12" spans="4:11" x14ac:dyDescent="0.25">
      <c r="D12" t="s">
        <v>79</v>
      </c>
      <c r="E12">
        <v>0.7</v>
      </c>
      <c r="F12" t="s">
        <v>3</v>
      </c>
      <c r="I12" t="s">
        <v>79</v>
      </c>
      <c r="J12">
        <v>0.7</v>
      </c>
      <c r="K12" t="s">
        <v>3</v>
      </c>
    </row>
    <row r="13" spans="4:11" x14ac:dyDescent="0.25">
      <c r="D13" t="s">
        <v>80</v>
      </c>
      <c r="E13">
        <v>0.02</v>
      </c>
      <c r="F13" t="s">
        <v>4</v>
      </c>
      <c r="I13" t="s">
        <v>48</v>
      </c>
      <c r="J13">
        <v>105</v>
      </c>
    </row>
    <row r="14" spans="4:11" x14ac:dyDescent="0.25">
      <c r="D14" t="s">
        <v>77</v>
      </c>
      <c r="E14">
        <f>E11*E12/E13</f>
        <v>3675</v>
      </c>
      <c r="F14" t="s">
        <v>9</v>
      </c>
      <c r="I14" t="s">
        <v>80</v>
      </c>
      <c r="J14">
        <f>J12/J11*J13</f>
        <v>2.2968749999999996E-2</v>
      </c>
      <c r="K14" t="s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BBEF-2A18-4808-9BC8-1193F4308158}">
  <dimension ref="I1:R32"/>
  <sheetViews>
    <sheetView zoomScale="85" zoomScaleNormal="85" workbookViewId="0">
      <selection activeCell="O14" sqref="O14"/>
    </sheetView>
  </sheetViews>
  <sheetFormatPr defaultRowHeight="15" x14ac:dyDescent="0.25"/>
  <cols>
    <col min="1" max="10" width="9.140625" style="6"/>
    <col min="11" max="11" width="15" style="6" customWidth="1"/>
    <col min="12" max="12" width="15.140625" style="6" customWidth="1"/>
    <col min="13" max="13" width="14.7109375" style="6" customWidth="1"/>
    <col min="14" max="14" width="13.28515625" style="6" bestFit="1" customWidth="1"/>
    <col min="15" max="16" width="9.140625" style="6"/>
    <col min="17" max="17" width="10.42578125" style="6" customWidth="1"/>
    <col min="18" max="16384" width="9.140625" style="6"/>
  </cols>
  <sheetData>
    <row r="1" spans="9:18" x14ac:dyDescent="0.25">
      <c r="K1" s="6" t="s">
        <v>52</v>
      </c>
      <c r="L1" s="6" t="s">
        <v>53</v>
      </c>
      <c r="M1" s="6" t="s">
        <v>54</v>
      </c>
    </row>
    <row r="2" spans="9:18" x14ac:dyDescent="0.25">
      <c r="J2" s="6" t="s">
        <v>55</v>
      </c>
      <c r="K2" s="7">
        <v>4.2</v>
      </c>
      <c r="L2" s="7">
        <v>5</v>
      </c>
      <c r="M2" s="7">
        <v>5.5</v>
      </c>
    </row>
    <row r="3" spans="9:18" x14ac:dyDescent="0.25">
      <c r="J3" s="6" t="s">
        <v>56</v>
      </c>
      <c r="K3" s="7">
        <f>L3</f>
        <v>3.3</v>
      </c>
      <c r="L3" s="7">
        <v>3.3</v>
      </c>
      <c r="M3" s="7">
        <f>L3</f>
        <v>3.3</v>
      </c>
    </row>
    <row r="4" spans="9:18" x14ac:dyDescent="0.25">
      <c r="J4" s="6" t="s">
        <v>57</v>
      </c>
      <c r="K4" s="7">
        <v>0.58799999999999997</v>
      </c>
      <c r="L4" s="7">
        <v>0.6</v>
      </c>
      <c r="M4" s="7">
        <v>0.61199999999999999</v>
      </c>
    </row>
    <row r="5" spans="9:18" x14ac:dyDescent="0.25">
      <c r="J5" s="6" t="s">
        <v>58</v>
      </c>
      <c r="K5" s="8">
        <f>L5</f>
        <v>10</v>
      </c>
      <c r="L5" s="7">
        <v>10</v>
      </c>
      <c r="M5" s="8">
        <f>L5</f>
        <v>10</v>
      </c>
    </row>
    <row r="6" spans="9:18" x14ac:dyDescent="0.25">
      <c r="J6" s="6" t="s">
        <v>59</v>
      </c>
      <c r="K6" s="9">
        <f>K5/((K3/K4)-1)</f>
        <v>2.168141592920354</v>
      </c>
      <c r="L6" s="9">
        <f>L5/((L3/L4)-1)</f>
        <v>2.2222222222222223</v>
      </c>
      <c r="M6" s="9">
        <v>2.2000000000000002</v>
      </c>
    </row>
    <row r="7" spans="9:18" x14ac:dyDescent="0.25">
      <c r="J7" s="6" t="s">
        <v>60</v>
      </c>
      <c r="K7" s="8">
        <f>L7</f>
        <v>600000</v>
      </c>
      <c r="L7" s="7">
        <f>600*10^3</f>
        <v>600000</v>
      </c>
      <c r="M7" s="8">
        <f>L7</f>
        <v>600000</v>
      </c>
      <c r="Q7" s="6" t="s">
        <v>61</v>
      </c>
      <c r="R7" s="10">
        <f>MIN(K10:M10)</f>
        <v>1.1785714285714288</v>
      </c>
    </row>
    <row r="8" spans="9:18" x14ac:dyDescent="0.25">
      <c r="J8" s="11" t="s">
        <v>62</v>
      </c>
      <c r="K8" s="8">
        <v>1</v>
      </c>
      <c r="L8" s="7">
        <v>1</v>
      </c>
      <c r="M8" s="8">
        <v>1</v>
      </c>
      <c r="Q8" s="6" t="s">
        <v>63</v>
      </c>
      <c r="R8" s="10">
        <f>MAX(K10:M10)</f>
        <v>2.2000000000000002</v>
      </c>
    </row>
    <row r="9" spans="9:18" x14ac:dyDescent="0.25">
      <c r="J9" s="6" t="s">
        <v>64</v>
      </c>
      <c r="K9" s="12">
        <f>(K3*(K2-K3))/(K2*K8*K7)</f>
        <v>1.1785714285714289E-6</v>
      </c>
      <c r="L9" s="12">
        <f>(L3*(L2-L3))/(L2*L8*L7)</f>
        <v>1.8700000000000001E-6</v>
      </c>
      <c r="M9" s="12">
        <f>(M3*(M2-M3))/(M2*M8*M7)</f>
        <v>2.2000000000000001E-6</v>
      </c>
    </row>
    <row r="10" spans="9:18" x14ac:dyDescent="0.25">
      <c r="J10" s="6" t="s">
        <v>65</v>
      </c>
      <c r="K10" s="6">
        <f>K9*10^6</f>
        <v>1.1785714285714288</v>
      </c>
      <c r="L10" s="6">
        <f>L9*10^6</f>
        <v>1.87</v>
      </c>
      <c r="M10" s="6">
        <f>M9*10^6</f>
        <v>2.2000000000000002</v>
      </c>
    </row>
    <row r="11" spans="9:18" x14ac:dyDescent="0.25">
      <c r="J11" s="6" t="s">
        <v>66</v>
      </c>
      <c r="K11" s="8">
        <v>2</v>
      </c>
      <c r="L11" s="7">
        <v>2</v>
      </c>
      <c r="M11" s="8">
        <f>L11</f>
        <v>2</v>
      </c>
    </row>
    <row r="12" spans="9:18" x14ac:dyDescent="0.25">
      <c r="J12" s="6" t="s">
        <v>67</v>
      </c>
      <c r="K12" s="13">
        <f>K11+K8/2</f>
        <v>2.5</v>
      </c>
      <c r="L12" s="13">
        <f>L11+L8/2</f>
        <v>2.5</v>
      </c>
      <c r="M12" s="13">
        <f>M11+M8/2</f>
        <v>2.5</v>
      </c>
    </row>
    <row r="13" spans="9:18" x14ac:dyDescent="0.25">
      <c r="J13" s="6" t="s">
        <v>68</v>
      </c>
      <c r="K13" s="8">
        <f>L13</f>
        <v>6.2000000000000003E-5</v>
      </c>
      <c r="L13" s="8">
        <f>L14*10^-6</f>
        <v>6.2000000000000003E-5</v>
      </c>
      <c r="M13" s="8">
        <f>L13</f>
        <v>6.2000000000000003E-5</v>
      </c>
    </row>
    <row r="14" spans="9:18" x14ac:dyDescent="0.25">
      <c r="J14" s="6" t="s">
        <v>69</v>
      </c>
      <c r="K14" s="10">
        <f>L14</f>
        <v>62</v>
      </c>
      <c r="L14" s="14">
        <v>62</v>
      </c>
      <c r="M14" s="10">
        <f>L14</f>
        <v>62</v>
      </c>
    </row>
    <row r="15" spans="9:18" x14ac:dyDescent="0.25">
      <c r="K15" s="10"/>
      <c r="L15" s="10"/>
      <c r="M15" s="10"/>
    </row>
    <row r="16" spans="9:18" x14ac:dyDescent="0.25">
      <c r="I16" s="6" t="s">
        <v>70</v>
      </c>
      <c r="J16" s="11" t="s">
        <v>71</v>
      </c>
      <c r="K16" s="10">
        <f>((K3/(8*K7*K7*K9*K13))*(1-(K3/K2)))*10^3</f>
        <v>3.3602150537634419</v>
      </c>
      <c r="L16" s="10">
        <f>((L3/(8*L7*L7*L9*L13))*(1-(L3/L2)))*10^3</f>
        <v>3.3602150537634414</v>
      </c>
      <c r="M16" s="10">
        <f>((M3/(8*M7*M7*M9*M13))*(1-(M3/M2)))*10^3</f>
        <v>3.360215053763441</v>
      </c>
    </row>
    <row r="17" spans="10:14" x14ac:dyDescent="0.25">
      <c r="L17" s="7"/>
    </row>
    <row r="18" spans="10:14" x14ac:dyDescent="0.25">
      <c r="L18" s="7"/>
    </row>
    <row r="19" spans="10:14" x14ac:dyDescent="0.25">
      <c r="L19" s="15"/>
    </row>
    <row r="20" spans="10:14" x14ac:dyDescent="0.25">
      <c r="L20" s="7"/>
    </row>
    <row r="21" spans="10:14" x14ac:dyDescent="0.25">
      <c r="L21" s="13"/>
    </row>
    <row r="22" spans="10:14" x14ac:dyDescent="0.25">
      <c r="J22" s="6" t="s">
        <v>66</v>
      </c>
      <c r="K22" s="18">
        <v>0.5</v>
      </c>
      <c r="M22" s="6" t="s">
        <v>72</v>
      </c>
      <c r="N22" s="18">
        <v>0.6</v>
      </c>
    </row>
    <row r="23" spans="10:14" x14ac:dyDescent="0.25">
      <c r="J23" s="6" t="s">
        <v>67</v>
      </c>
      <c r="K23" s="18">
        <v>1</v>
      </c>
      <c r="M23" s="6" t="s">
        <v>37</v>
      </c>
      <c r="N23" s="18">
        <v>10</v>
      </c>
    </row>
    <row r="24" spans="10:14" x14ac:dyDescent="0.25">
      <c r="J24" s="11" t="s">
        <v>62</v>
      </c>
      <c r="K24" s="6">
        <f>(K23-K22)*2</f>
        <v>1</v>
      </c>
      <c r="M24" s="6" t="s">
        <v>34</v>
      </c>
      <c r="N24" s="18">
        <v>2.2000000000000002</v>
      </c>
    </row>
    <row r="25" spans="10:14" x14ac:dyDescent="0.25">
      <c r="M25" s="6" t="s">
        <v>21</v>
      </c>
      <c r="N25" s="10">
        <f>N22*(1+(N23/N24))</f>
        <v>3.3272727272727267</v>
      </c>
    </row>
    <row r="30" spans="10:14" x14ac:dyDescent="0.25">
      <c r="K30" s="6" t="s">
        <v>73</v>
      </c>
    </row>
    <row r="31" spans="10:14" x14ac:dyDescent="0.25">
      <c r="K31" s="6" t="s">
        <v>74</v>
      </c>
      <c r="L31" s="6">
        <v>1.5</v>
      </c>
    </row>
    <row r="32" spans="10:14" x14ac:dyDescent="0.25">
      <c r="K32" s="6" t="s">
        <v>75</v>
      </c>
      <c r="L32" s="6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0751-3FAF-4BF3-9C54-6D1DEE53D03E}">
  <dimension ref="D3:W19"/>
  <sheetViews>
    <sheetView topLeftCell="B1" workbookViewId="0">
      <selection activeCell="F19" sqref="F19"/>
    </sheetView>
  </sheetViews>
  <sheetFormatPr defaultRowHeight="15" x14ac:dyDescent="0.25"/>
  <cols>
    <col min="5" max="5" width="13.42578125" customWidth="1"/>
    <col min="6" max="6" width="10" customWidth="1"/>
  </cols>
  <sheetData>
    <row r="3" spans="4:23" x14ac:dyDescent="0.25">
      <c r="F3" s="5" t="s">
        <v>50</v>
      </c>
      <c r="J3" s="5" t="s">
        <v>49</v>
      </c>
    </row>
    <row r="4" spans="4:23" x14ac:dyDescent="0.25">
      <c r="E4" t="s">
        <v>23</v>
      </c>
      <c r="F4">
        <v>5</v>
      </c>
      <c r="G4" t="s">
        <v>3</v>
      </c>
      <c r="I4" t="s">
        <v>23</v>
      </c>
      <c r="J4">
        <v>12.5</v>
      </c>
      <c r="K4" t="s">
        <v>3</v>
      </c>
    </row>
    <row r="5" spans="4:23" x14ac:dyDescent="0.25">
      <c r="R5" t="s">
        <v>85</v>
      </c>
    </row>
    <row r="6" spans="4:23" x14ac:dyDescent="0.25">
      <c r="E6" t="s">
        <v>37</v>
      </c>
      <c r="F6">
        <v>10</v>
      </c>
      <c r="G6" t="s">
        <v>48</v>
      </c>
      <c r="I6" t="s">
        <v>37</v>
      </c>
      <c r="J6">
        <v>10</v>
      </c>
      <c r="K6" t="s">
        <v>48</v>
      </c>
      <c r="R6" t="s">
        <v>85</v>
      </c>
    </row>
    <row r="7" spans="4:23" x14ac:dyDescent="0.25">
      <c r="E7" t="s">
        <v>34</v>
      </c>
      <c r="F7">
        <v>10</v>
      </c>
      <c r="G7" t="s">
        <v>48</v>
      </c>
      <c r="I7" t="s">
        <v>34</v>
      </c>
      <c r="J7">
        <v>1</v>
      </c>
      <c r="K7" t="s">
        <v>48</v>
      </c>
      <c r="Q7" t="s">
        <v>128</v>
      </c>
      <c r="R7">
        <v>12</v>
      </c>
    </row>
    <row r="8" spans="4:23" x14ac:dyDescent="0.25">
      <c r="E8" t="s">
        <v>21</v>
      </c>
      <c r="F8">
        <f>F4*F7/(F6+F7)</f>
        <v>2.5</v>
      </c>
      <c r="G8" t="s">
        <v>3</v>
      </c>
      <c r="I8" t="s">
        <v>21</v>
      </c>
      <c r="J8">
        <f>J4*J7/(J6+J7)</f>
        <v>1.1363636363636365</v>
      </c>
      <c r="K8" t="s">
        <v>3</v>
      </c>
      <c r="Q8" t="s">
        <v>87</v>
      </c>
      <c r="R8">
        <v>3.3</v>
      </c>
    </row>
    <row r="12" spans="4:23" x14ac:dyDescent="0.25">
      <c r="S12" s="29" t="s">
        <v>121</v>
      </c>
      <c r="T12" s="29"/>
      <c r="U12" s="29"/>
      <c r="V12" s="29"/>
      <c r="W12" s="29"/>
    </row>
    <row r="13" spans="4:23" x14ac:dyDescent="0.25">
      <c r="E13" s="21"/>
      <c r="F13" s="30" t="s">
        <v>23</v>
      </c>
      <c r="G13" s="30"/>
      <c r="H13" s="30"/>
      <c r="I13" s="30" t="s">
        <v>122</v>
      </c>
      <c r="J13" s="30"/>
      <c r="K13" s="30"/>
      <c r="L13" s="30" t="s">
        <v>85</v>
      </c>
      <c r="M13" s="30"/>
      <c r="N13" s="30"/>
      <c r="T13" t="s">
        <v>123</v>
      </c>
      <c r="U13" t="s">
        <v>124</v>
      </c>
      <c r="V13" t="s">
        <v>124</v>
      </c>
      <c r="W13" t="s">
        <v>124</v>
      </c>
    </row>
    <row r="14" spans="4:23" x14ac:dyDescent="0.25">
      <c r="E14" s="19" t="s">
        <v>125</v>
      </c>
      <c r="F14" s="19" t="s">
        <v>52</v>
      </c>
      <c r="G14" s="19" t="s">
        <v>53</v>
      </c>
      <c r="H14" s="22" t="s">
        <v>54</v>
      </c>
      <c r="I14" s="19" t="s">
        <v>52</v>
      </c>
      <c r="J14" s="19" t="s">
        <v>53</v>
      </c>
      <c r="K14" s="22" t="s">
        <v>54</v>
      </c>
      <c r="L14" s="19" t="s">
        <v>52</v>
      </c>
      <c r="M14" s="19" t="s">
        <v>53</v>
      </c>
      <c r="N14" s="22" t="s">
        <v>54</v>
      </c>
      <c r="S14" t="s">
        <v>126</v>
      </c>
      <c r="T14">
        <v>0</v>
      </c>
      <c r="U14">
        <v>10</v>
      </c>
      <c r="V14">
        <v>10</v>
      </c>
      <c r="W14">
        <v>100</v>
      </c>
    </row>
    <row r="15" spans="4:23" x14ac:dyDescent="0.25">
      <c r="D15" t="s">
        <v>127</v>
      </c>
      <c r="E15" s="23">
        <v>9.0910000000000005E-2</v>
      </c>
      <c r="F15" s="19">
        <v>10</v>
      </c>
      <c r="G15" s="19">
        <v>12</v>
      </c>
      <c r="H15" s="19">
        <v>14</v>
      </c>
      <c r="I15" s="24">
        <f>F15*$E15</f>
        <v>0.90910000000000002</v>
      </c>
      <c r="J15" s="24">
        <f t="shared" ref="J15:K15" si="0">G15*$E15</f>
        <v>1.0909200000000001</v>
      </c>
      <c r="K15" s="24">
        <f t="shared" si="0"/>
        <v>1.27274</v>
      </c>
      <c r="L15" s="25">
        <f>I15/$R$8*2^($R$7)</f>
        <v>1128.3859393939395</v>
      </c>
      <c r="M15" s="25">
        <f t="shared" ref="M15:N19" si="1">J15/$R$8*2^($R$7)</f>
        <v>1354.0631272727276</v>
      </c>
      <c r="N15" s="25">
        <f t="shared" si="1"/>
        <v>1579.7403151515152</v>
      </c>
      <c r="T15">
        <f>1*10^6</f>
        <v>1000000</v>
      </c>
      <c r="U15">
        <v>8000</v>
      </c>
      <c r="V15">
        <v>20000</v>
      </c>
      <c r="W15">
        <v>2000</v>
      </c>
    </row>
    <row r="16" spans="4:23" x14ac:dyDescent="0.25">
      <c r="D16" t="s">
        <v>50</v>
      </c>
      <c r="E16" s="23">
        <v>0.5</v>
      </c>
      <c r="F16" s="19">
        <v>3.6</v>
      </c>
      <c r="G16" s="19">
        <v>5</v>
      </c>
      <c r="H16" s="19">
        <v>5.5</v>
      </c>
      <c r="I16" s="24">
        <f t="shared" ref="I16:I19" si="2">F16*$E16</f>
        <v>1.8</v>
      </c>
      <c r="J16" s="24">
        <f t="shared" ref="J16:J19" si="3">G16*$E16</f>
        <v>2.5</v>
      </c>
      <c r="K16" s="24">
        <f t="shared" ref="K16:K19" si="4">H16*$E16</f>
        <v>2.75</v>
      </c>
      <c r="L16" s="25">
        <f t="shared" ref="L16:L19" si="5">I16/$R$8*2^($R$7)</f>
        <v>2234.1818181818185</v>
      </c>
      <c r="M16" s="25">
        <f t="shared" si="1"/>
        <v>3103.030303030303</v>
      </c>
      <c r="N16" s="25">
        <f t="shared" si="1"/>
        <v>3413.3333333333335</v>
      </c>
      <c r="T16">
        <v>10000</v>
      </c>
      <c r="U16">
        <v>10000</v>
      </c>
      <c r="V16">
        <v>10000</v>
      </c>
      <c r="W16">
        <v>10000</v>
      </c>
    </row>
    <row r="17" spans="4:23" x14ac:dyDescent="0.25">
      <c r="D17" s="21" t="s">
        <v>86</v>
      </c>
      <c r="E17" s="26">
        <v>1</v>
      </c>
      <c r="F17" s="24">
        <v>0.55000000000000004</v>
      </c>
      <c r="G17" s="24">
        <v>2.1999999999999997</v>
      </c>
      <c r="H17" s="24">
        <v>3.2673267326732671</v>
      </c>
      <c r="I17" s="24">
        <f t="shared" si="2"/>
        <v>0.55000000000000004</v>
      </c>
      <c r="J17" s="24">
        <f t="shared" si="3"/>
        <v>2.1999999999999997</v>
      </c>
      <c r="K17" s="24">
        <f t="shared" si="4"/>
        <v>3.2673267326732671</v>
      </c>
      <c r="L17" s="25">
        <f t="shared" si="5"/>
        <v>682.66666666666674</v>
      </c>
      <c r="M17" s="25">
        <f t="shared" si="1"/>
        <v>2730.6666666666665</v>
      </c>
      <c r="N17" s="25">
        <f t="shared" si="1"/>
        <v>4055.4455445544554</v>
      </c>
      <c r="T17" s="2">
        <f>T15/(T16+T15)</f>
        <v>0.99009900990099009</v>
      </c>
      <c r="U17" s="2">
        <f>U15/(U16+U15)</f>
        <v>0.44444444444444442</v>
      </c>
      <c r="V17" s="2">
        <f>V15/(V16+V15)</f>
        <v>0.66666666666666663</v>
      </c>
      <c r="W17" s="2">
        <f>W15/(W16+W15)</f>
        <v>0.16666666666666666</v>
      </c>
    </row>
    <row r="18" spans="4:23" x14ac:dyDescent="0.25">
      <c r="D18" s="21" t="s">
        <v>225</v>
      </c>
      <c r="E18" s="26">
        <v>1</v>
      </c>
      <c r="F18" s="19">
        <v>2</v>
      </c>
      <c r="G18" s="19">
        <v>3.2</v>
      </c>
      <c r="H18" s="19">
        <v>3.5</v>
      </c>
      <c r="I18" s="24">
        <f t="shared" si="2"/>
        <v>2</v>
      </c>
      <c r="J18" s="24">
        <f t="shared" si="3"/>
        <v>3.2</v>
      </c>
      <c r="K18" s="24">
        <f t="shared" si="4"/>
        <v>3.5</v>
      </c>
      <c r="L18" s="25">
        <f t="shared" si="5"/>
        <v>2482.4242424242425</v>
      </c>
      <c r="M18" s="25">
        <f t="shared" si="1"/>
        <v>3971.8787878787884</v>
      </c>
      <c r="N18" s="25">
        <f t="shared" si="1"/>
        <v>4344.242424242424</v>
      </c>
      <c r="R18" t="s">
        <v>23</v>
      </c>
      <c r="S18" t="s">
        <v>21</v>
      </c>
      <c r="T18" s="2">
        <f>$R$19*T17</f>
        <v>3.2673267326732671</v>
      </c>
      <c r="U18" s="2">
        <f>$R$19*U17</f>
        <v>1.4666666666666666</v>
      </c>
      <c r="V18" s="2">
        <f>$R$19*V17</f>
        <v>2.1999999999999997</v>
      </c>
      <c r="W18" s="2">
        <f>$R$19*W17</f>
        <v>0.54999999999999993</v>
      </c>
    </row>
    <row r="19" spans="4:23" x14ac:dyDescent="0.25">
      <c r="D19" s="21"/>
      <c r="E19" s="26"/>
      <c r="F19" s="19"/>
      <c r="H19" s="19"/>
      <c r="I19" s="24">
        <f t="shared" si="2"/>
        <v>0</v>
      </c>
      <c r="J19" s="24">
        <f t="shared" si="3"/>
        <v>0</v>
      </c>
      <c r="K19" s="24">
        <f t="shared" si="4"/>
        <v>0</v>
      </c>
      <c r="L19" s="25">
        <f t="shared" si="5"/>
        <v>0</v>
      </c>
      <c r="M19" s="25">
        <f t="shared" si="1"/>
        <v>0</v>
      </c>
      <c r="N19" s="25">
        <f t="shared" si="1"/>
        <v>0</v>
      </c>
      <c r="R19">
        <v>3.3</v>
      </c>
    </row>
  </sheetData>
  <mergeCells count="4">
    <mergeCell ref="S12:W12"/>
    <mergeCell ref="F13:H13"/>
    <mergeCell ref="I13:K13"/>
    <mergeCell ref="L13:N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48AA-8A62-4731-896E-42E50200BA3D}">
  <dimension ref="F5:V47"/>
  <sheetViews>
    <sheetView topLeftCell="A5" workbookViewId="0">
      <selection activeCell="E34" sqref="E34"/>
    </sheetView>
  </sheetViews>
  <sheetFormatPr defaultRowHeight="15" x14ac:dyDescent="0.25"/>
  <cols>
    <col min="7" max="7" width="13.28515625" bestFit="1" customWidth="1"/>
    <col min="11" max="11" width="13.28515625" bestFit="1" customWidth="1"/>
  </cols>
  <sheetData>
    <row r="5" spans="6:22" ht="15.75" thickBot="1" x14ac:dyDescent="0.3"/>
    <row r="6" spans="6:22" x14ac:dyDescent="0.25">
      <c r="F6" s="31"/>
      <c r="G6" s="32"/>
      <c r="H6" s="33"/>
      <c r="J6" s="31"/>
      <c r="K6" s="32"/>
      <c r="L6" s="32"/>
      <c r="M6" s="32"/>
      <c r="N6" s="33"/>
    </row>
    <row r="7" spans="6:22" x14ac:dyDescent="0.25">
      <c r="F7" s="34" t="s">
        <v>82</v>
      </c>
      <c r="G7" s="35">
        <v>8</v>
      </c>
      <c r="H7" s="36"/>
      <c r="J7" s="34" t="s">
        <v>82</v>
      </c>
      <c r="K7" s="35">
        <v>8</v>
      </c>
      <c r="L7" s="35" t="s">
        <v>88</v>
      </c>
      <c r="M7" s="35"/>
      <c r="N7" s="36"/>
      <c r="Q7" t="s">
        <v>89</v>
      </c>
      <c r="U7" t="s">
        <v>85</v>
      </c>
    </row>
    <row r="8" spans="6:22" x14ac:dyDescent="0.25">
      <c r="F8" s="34"/>
      <c r="G8" s="35">
        <f>G7*10^6</f>
        <v>8000000</v>
      </c>
      <c r="H8" s="36"/>
      <c r="J8" s="34"/>
      <c r="K8" s="35">
        <f>K7*10^6</f>
        <v>8000000</v>
      </c>
      <c r="L8" s="35" t="s">
        <v>27</v>
      </c>
      <c r="M8" s="35"/>
      <c r="N8" s="36"/>
      <c r="P8" t="s">
        <v>90</v>
      </c>
      <c r="Q8">
        <v>32000</v>
      </c>
      <c r="R8" t="s">
        <v>27</v>
      </c>
      <c r="U8">
        <v>64</v>
      </c>
    </row>
    <row r="9" spans="6:22" x14ac:dyDescent="0.25">
      <c r="F9" s="37" t="s">
        <v>83</v>
      </c>
      <c r="G9" s="38">
        <v>11500</v>
      </c>
      <c r="H9" s="36"/>
      <c r="J9" s="37" t="s">
        <v>84</v>
      </c>
      <c r="K9" s="35">
        <f>1/M9*1000</f>
        <v>500</v>
      </c>
      <c r="L9" s="35" t="s">
        <v>27</v>
      </c>
      <c r="M9" s="35">
        <v>2</v>
      </c>
      <c r="N9" s="36" t="s">
        <v>226</v>
      </c>
      <c r="P9" t="s">
        <v>91</v>
      </c>
      <c r="Q9" s="1">
        <v>64</v>
      </c>
      <c r="T9" t="s">
        <v>96</v>
      </c>
      <c r="U9">
        <f>U8*10^6</f>
        <v>64000000</v>
      </c>
    </row>
    <row r="10" spans="6:22" x14ac:dyDescent="0.25">
      <c r="F10" s="37" t="s">
        <v>84</v>
      </c>
      <c r="G10" s="35">
        <f>G8/G9</f>
        <v>695.6521739130435</v>
      </c>
      <c r="H10" s="36" t="s">
        <v>27</v>
      </c>
      <c r="J10" s="37" t="s">
        <v>83</v>
      </c>
      <c r="K10" s="35">
        <f>K8/K9</f>
        <v>16000</v>
      </c>
      <c r="L10" s="35"/>
      <c r="M10" s="35"/>
      <c r="N10" s="36"/>
      <c r="P10" t="s">
        <v>92</v>
      </c>
      <c r="Q10">
        <f>Q8/Q9</f>
        <v>500</v>
      </c>
      <c r="R10" t="s">
        <v>27</v>
      </c>
      <c r="T10" t="s">
        <v>83</v>
      </c>
      <c r="U10">
        <v>63</v>
      </c>
    </row>
    <row r="11" spans="6:22" x14ac:dyDescent="0.25">
      <c r="F11" s="37"/>
      <c r="G11" s="39">
        <f>1/G10*1000</f>
        <v>1.4375</v>
      </c>
      <c r="H11" s="36" t="s">
        <v>226</v>
      </c>
      <c r="J11" s="37"/>
      <c r="K11" s="35"/>
      <c r="L11" s="35"/>
      <c r="M11" s="35"/>
      <c r="N11" s="36"/>
      <c r="P11" t="s">
        <v>93</v>
      </c>
      <c r="Q11" s="1">
        <v>4095</v>
      </c>
      <c r="T11" t="s">
        <v>97</v>
      </c>
      <c r="U11">
        <v>999</v>
      </c>
      <c r="V11" t="s">
        <v>98</v>
      </c>
    </row>
    <row r="12" spans="6:22" x14ac:dyDescent="0.25">
      <c r="F12" s="37"/>
      <c r="G12" s="35"/>
      <c r="H12" s="36"/>
      <c r="J12" s="37"/>
      <c r="K12" s="35"/>
      <c r="L12" s="35"/>
      <c r="M12" s="35"/>
      <c r="N12" s="36"/>
      <c r="P12" t="s">
        <v>94</v>
      </c>
      <c r="Q12">
        <f>(Q11+1)/Q10</f>
        <v>8.1920000000000002</v>
      </c>
      <c r="R12" t="s">
        <v>95</v>
      </c>
      <c r="T12" t="s">
        <v>99</v>
      </c>
      <c r="U12">
        <f>U9/((U10+1)*(U11+1))</f>
        <v>1000</v>
      </c>
      <c r="V12" t="s">
        <v>100</v>
      </c>
    </row>
    <row r="13" spans="6:22" x14ac:dyDescent="0.25">
      <c r="F13" s="37"/>
      <c r="G13" s="35"/>
      <c r="H13" s="36"/>
      <c r="J13" s="37"/>
      <c r="K13" s="35"/>
      <c r="L13" s="35"/>
      <c r="M13" s="35"/>
      <c r="N13" s="36"/>
    </row>
    <row r="14" spans="6:22" x14ac:dyDescent="0.25">
      <c r="F14" s="37"/>
      <c r="G14" s="35"/>
      <c r="H14" s="36"/>
      <c r="J14" s="37"/>
      <c r="K14" s="35"/>
      <c r="L14" s="35"/>
      <c r="M14" s="35"/>
      <c r="N14" s="36"/>
    </row>
    <row r="15" spans="6:22" x14ac:dyDescent="0.25">
      <c r="F15" s="37" t="s">
        <v>83</v>
      </c>
      <c r="G15" s="35" t="s">
        <v>226</v>
      </c>
      <c r="H15" s="36"/>
      <c r="J15" s="37" t="s">
        <v>226</v>
      </c>
      <c r="K15" s="35" t="s">
        <v>227</v>
      </c>
      <c r="L15" s="35"/>
      <c r="M15" s="35"/>
      <c r="N15" s="36"/>
    </row>
    <row r="16" spans="6:22" x14ac:dyDescent="0.25">
      <c r="F16" s="37">
        <v>10000</v>
      </c>
      <c r="G16" s="39">
        <f>1/($G$8/F16)*1000</f>
        <v>1.25</v>
      </c>
      <c r="H16" s="36"/>
      <c r="J16" s="43">
        <v>1</v>
      </c>
      <c r="K16" s="35">
        <f t="shared" ref="K16:K23" si="0">$K$8/(1/J16*1000)</f>
        <v>8000</v>
      </c>
      <c r="L16" s="35"/>
      <c r="M16" s="35"/>
      <c r="N16" s="36"/>
    </row>
    <row r="17" spans="6:14" x14ac:dyDescent="0.25">
      <c r="F17" s="37">
        <v>10500</v>
      </c>
      <c r="G17" s="39">
        <f t="shared" ref="G17:G32" si="1">1/($G$8/F17)*1000</f>
        <v>1.3124999999999998</v>
      </c>
      <c r="H17" s="36"/>
      <c r="J17" s="43">
        <v>1.125</v>
      </c>
      <c r="K17" s="35">
        <f t="shared" si="0"/>
        <v>9000</v>
      </c>
      <c r="L17" s="35"/>
      <c r="M17" s="35"/>
      <c r="N17" s="36"/>
    </row>
    <row r="18" spans="6:14" x14ac:dyDescent="0.25">
      <c r="F18" s="37">
        <v>11000</v>
      </c>
      <c r="G18" s="39">
        <f t="shared" si="1"/>
        <v>1.3750000000000002</v>
      </c>
      <c r="H18" s="36"/>
      <c r="J18" s="43">
        <v>1.25</v>
      </c>
      <c r="K18" s="35">
        <f t="shared" si="0"/>
        <v>10000</v>
      </c>
      <c r="L18" s="35"/>
      <c r="M18" s="35"/>
      <c r="N18" s="36"/>
    </row>
    <row r="19" spans="6:14" x14ac:dyDescent="0.25">
      <c r="F19" s="37">
        <v>11500</v>
      </c>
      <c r="G19" s="39">
        <f t="shared" si="1"/>
        <v>1.4375</v>
      </c>
      <c r="H19" s="36"/>
      <c r="J19" s="43">
        <v>1.375</v>
      </c>
      <c r="K19" s="35">
        <f t="shared" si="0"/>
        <v>11000</v>
      </c>
      <c r="L19" s="35"/>
      <c r="M19" s="35"/>
      <c r="N19" s="36"/>
    </row>
    <row r="20" spans="6:14" x14ac:dyDescent="0.25">
      <c r="F20" s="37">
        <v>12000</v>
      </c>
      <c r="G20" s="39">
        <f t="shared" si="1"/>
        <v>1.5</v>
      </c>
      <c r="H20" s="36"/>
      <c r="J20" s="43">
        <v>1.5</v>
      </c>
      <c r="K20" s="35">
        <f t="shared" si="0"/>
        <v>12000</v>
      </c>
      <c r="L20" s="35"/>
      <c r="M20" s="35"/>
      <c r="N20" s="36"/>
    </row>
    <row r="21" spans="6:14" x14ac:dyDescent="0.25">
      <c r="F21" s="37">
        <v>12500</v>
      </c>
      <c r="G21" s="39">
        <f t="shared" si="1"/>
        <v>1.5625</v>
      </c>
      <c r="H21" s="36"/>
      <c r="J21" s="43">
        <v>1.625</v>
      </c>
      <c r="K21" s="35">
        <f t="shared" si="0"/>
        <v>12999.999999999998</v>
      </c>
      <c r="L21" s="35"/>
      <c r="M21" s="35"/>
      <c r="N21" s="36"/>
    </row>
    <row r="22" spans="6:14" x14ac:dyDescent="0.25">
      <c r="F22" s="37">
        <v>13000</v>
      </c>
      <c r="G22" s="39">
        <f t="shared" si="1"/>
        <v>1.6250000000000002</v>
      </c>
      <c r="H22" s="36"/>
      <c r="J22" s="43">
        <v>1.75</v>
      </c>
      <c r="K22" s="35">
        <f t="shared" si="0"/>
        <v>14000</v>
      </c>
      <c r="L22" s="35"/>
      <c r="M22" s="35"/>
      <c r="N22" s="36"/>
    </row>
    <row r="23" spans="6:14" x14ac:dyDescent="0.25">
      <c r="F23" s="37">
        <v>13500</v>
      </c>
      <c r="G23" s="39">
        <f t="shared" si="1"/>
        <v>1.6875</v>
      </c>
      <c r="H23" s="36"/>
      <c r="J23" s="43">
        <v>1.875</v>
      </c>
      <c r="K23" s="35">
        <f t="shared" si="0"/>
        <v>14999.999999999998</v>
      </c>
      <c r="L23" s="35"/>
      <c r="M23" s="35"/>
      <c r="N23" s="36"/>
    </row>
    <row r="24" spans="6:14" x14ac:dyDescent="0.25">
      <c r="F24" s="37">
        <v>14000</v>
      </c>
      <c r="G24" s="39">
        <f t="shared" si="1"/>
        <v>1.75</v>
      </c>
      <c r="H24" s="36"/>
      <c r="J24" s="43">
        <v>2</v>
      </c>
      <c r="K24" s="35">
        <f>$K$8/(1/J24*1000)</f>
        <v>16000</v>
      </c>
      <c r="L24" s="35"/>
      <c r="M24" s="35"/>
      <c r="N24" s="36"/>
    </row>
    <row r="25" spans="6:14" x14ac:dyDescent="0.25">
      <c r="F25" s="37">
        <v>14500</v>
      </c>
      <c r="G25" s="39">
        <f t="shared" si="1"/>
        <v>1.8124999999999998</v>
      </c>
      <c r="H25" s="36"/>
      <c r="J25" s="43">
        <v>2.125</v>
      </c>
      <c r="K25" s="35">
        <f t="shared" ref="K25:K47" si="2">$K$8/(1/J25*1000)</f>
        <v>17000</v>
      </c>
      <c r="L25" s="35"/>
      <c r="M25" s="35"/>
      <c r="N25" s="36"/>
    </row>
    <row r="26" spans="6:14" x14ac:dyDescent="0.25">
      <c r="F26" s="37">
        <v>15000</v>
      </c>
      <c r="G26" s="39">
        <f t="shared" si="1"/>
        <v>1.875</v>
      </c>
      <c r="H26" s="36"/>
      <c r="J26" s="43">
        <v>2.25</v>
      </c>
      <c r="K26" s="35">
        <f t="shared" si="2"/>
        <v>18000</v>
      </c>
      <c r="L26" s="35"/>
      <c r="M26" s="35"/>
      <c r="N26" s="36"/>
    </row>
    <row r="27" spans="6:14" x14ac:dyDescent="0.25">
      <c r="F27" s="37">
        <v>15500</v>
      </c>
      <c r="G27" s="39">
        <f t="shared" si="1"/>
        <v>1.9375</v>
      </c>
      <c r="H27" s="36"/>
      <c r="J27" s="43">
        <v>2.375</v>
      </c>
      <c r="K27" s="35">
        <f t="shared" si="2"/>
        <v>19000</v>
      </c>
      <c r="L27" s="35"/>
      <c r="M27" s="35"/>
      <c r="N27" s="36"/>
    </row>
    <row r="28" spans="6:14" x14ac:dyDescent="0.25">
      <c r="F28" s="37">
        <v>16000</v>
      </c>
      <c r="G28" s="39">
        <f t="shared" si="1"/>
        <v>2</v>
      </c>
      <c r="H28" s="36"/>
      <c r="J28" s="43">
        <v>2.5</v>
      </c>
      <c r="K28" s="35">
        <f t="shared" si="2"/>
        <v>20000</v>
      </c>
      <c r="L28" s="35"/>
      <c r="M28" s="35"/>
      <c r="N28" s="36"/>
    </row>
    <row r="29" spans="6:14" x14ac:dyDescent="0.25">
      <c r="F29" s="37">
        <v>16500</v>
      </c>
      <c r="G29" s="39">
        <f t="shared" si="1"/>
        <v>2.0625</v>
      </c>
      <c r="H29" s="36"/>
      <c r="J29" s="43">
        <v>2.625</v>
      </c>
      <c r="K29" s="35">
        <f t="shared" si="2"/>
        <v>21000.000000000004</v>
      </c>
      <c r="L29" s="35"/>
      <c r="M29" s="35"/>
      <c r="N29" s="36"/>
    </row>
    <row r="30" spans="6:14" x14ac:dyDescent="0.25">
      <c r="F30" s="37">
        <v>17000</v>
      </c>
      <c r="G30" s="39">
        <f t="shared" si="1"/>
        <v>2.125</v>
      </c>
      <c r="H30" s="36"/>
      <c r="J30" s="43">
        <v>2.75</v>
      </c>
      <c r="K30" s="35">
        <f t="shared" si="2"/>
        <v>22000</v>
      </c>
      <c r="L30" s="35"/>
      <c r="M30" s="35"/>
      <c r="N30" s="36"/>
    </row>
    <row r="31" spans="6:14" x14ac:dyDescent="0.25">
      <c r="F31" s="37">
        <v>17500</v>
      </c>
      <c r="G31" s="39">
        <f t="shared" si="1"/>
        <v>2.1874999999999996</v>
      </c>
      <c r="H31" s="36"/>
      <c r="J31" s="43">
        <v>2.875</v>
      </c>
      <c r="K31" s="35">
        <f t="shared" si="2"/>
        <v>23000</v>
      </c>
      <c r="L31" s="35"/>
      <c r="M31" s="35"/>
      <c r="N31" s="36"/>
    </row>
    <row r="32" spans="6:14" x14ac:dyDescent="0.25">
      <c r="F32" s="37">
        <v>18000</v>
      </c>
      <c r="G32" s="39">
        <f t="shared" si="1"/>
        <v>2.25</v>
      </c>
      <c r="H32" s="36"/>
      <c r="J32" s="43">
        <v>3</v>
      </c>
      <c r="K32" s="35">
        <f t="shared" si="2"/>
        <v>24000</v>
      </c>
      <c r="L32" s="35"/>
      <c r="M32" s="35"/>
      <c r="N32" s="36"/>
    </row>
    <row r="33" spans="6:14" x14ac:dyDescent="0.25">
      <c r="F33" s="37"/>
      <c r="G33" s="35"/>
      <c r="H33" s="36"/>
      <c r="J33" s="43">
        <v>4</v>
      </c>
      <c r="K33" s="35">
        <f t="shared" si="2"/>
        <v>32000</v>
      </c>
      <c r="L33" s="35"/>
      <c r="M33" s="35"/>
      <c r="N33" s="36"/>
    </row>
    <row r="34" spans="6:14" x14ac:dyDescent="0.25">
      <c r="F34" s="37"/>
      <c r="G34" s="35"/>
      <c r="H34" s="36"/>
      <c r="J34" s="43">
        <v>5</v>
      </c>
      <c r="K34" s="35">
        <f t="shared" si="2"/>
        <v>40000</v>
      </c>
      <c r="L34" s="35"/>
      <c r="M34" s="35"/>
      <c r="N34" s="36"/>
    </row>
    <row r="35" spans="6:14" ht="15.75" thickBot="1" x14ac:dyDescent="0.3">
      <c r="F35" s="40"/>
      <c r="G35" s="41"/>
      <c r="H35" s="42"/>
      <c r="J35" s="43">
        <v>6</v>
      </c>
      <c r="K35" s="35">
        <f t="shared" si="2"/>
        <v>48000</v>
      </c>
      <c r="L35" s="41"/>
      <c r="M35" s="41"/>
      <c r="N35" s="42"/>
    </row>
    <row r="36" spans="6:14" x14ac:dyDescent="0.25">
      <c r="J36" s="43">
        <v>7</v>
      </c>
      <c r="K36" s="35">
        <f t="shared" si="2"/>
        <v>56000</v>
      </c>
    </row>
    <row r="37" spans="6:14" x14ac:dyDescent="0.25">
      <c r="J37" s="43">
        <v>8</v>
      </c>
      <c r="K37" s="35">
        <f t="shared" si="2"/>
        <v>64000</v>
      </c>
    </row>
    <row r="38" spans="6:14" x14ac:dyDescent="0.25">
      <c r="J38" s="43">
        <v>9</v>
      </c>
      <c r="K38" s="35">
        <f t="shared" si="2"/>
        <v>72000</v>
      </c>
    </row>
    <row r="39" spans="6:14" x14ac:dyDescent="0.25">
      <c r="J39" s="43">
        <v>10</v>
      </c>
      <c r="K39" s="35">
        <f t="shared" si="2"/>
        <v>80000</v>
      </c>
    </row>
    <row r="40" spans="6:14" x14ac:dyDescent="0.25">
      <c r="J40" s="43">
        <v>11</v>
      </c>
      <c r="K40" s="35">
        <f t="shared" si="2"/>
        <v>88000</v>
      </c>
    </row>
    <row r="41" spans="6:14" x14ac:dyDescent="0.25">
      <c r="J41" s="43">
        <v>12</v>
      </c>
      <c r="K41" s="35">
        <f t="shared" si="2"/>
        <v>96000</v>
      </c>
    </row>
    <row r="42" spans="6:14" x14ac:dyDescent="0.25">
      <c r="J42" s="43">
        <v>13</v>
      </c>
      <c r="K42" s="35">
        <f t="shared" si="2"/>
        <v>103999.99999999999</v>
      </c>
    </row>
    <row r="43" spans="6:14" x14ac:dyDescent="0.25">
      <c r="J43" s="43">
        <v>14</v>
      </c>
      <c r="K43" s="35">
        <f t="shared" si="2"/>
        <v>112000</v>
      </c>
    </row>
    <row r="44" spans="6:14" x14ac:dyDescent="0.25">
      <c r="J44" s="43">
        <v>15</v>
      </c>
      <c r="K44" s="35">
        <f t="shared" si="2"/>
        <v>119999.99999999999</v>
      </c>
    </row>
    <row r="45" spans="6:14" x14ac:dyDescent="0.25">
      <c r="J45" s="43">
        <v>16</v>
      </c>
      <c r="K45" s="35">
        <f t="shared" si="2"/>
        <v>128000</v>
      </c>
    </row>
    <row r="46" spans="6:14" x14ac:dyDescent="0.25">
      <c r="J46" s="43">
        <v>17</v>
      </c>
      <c r="K46" s="35">
        <f t="shared" si="2"/>
        <v>136000</v>
      </c>
    </row>
    <row r="47" spans="6:14" x14ac:dyDescent="0.25">
      <c r="J47" s="43">
        <v>18</v>
      </c>
      <c r="K47" s="35">
        <f t="shared" si="2"/>
        <v>144000</v>
      </c>
    </row>
  </sheetData>
  <mergeCells count="2">
    <mergeCell ref="F7:F8"/>
    <mergeCell ref="J7:J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C530-A405-4CCB-AD33-F97F048B59AA}">
  <dimension ref="F2:AG37"/>
  <sheetViews>
    <sheetView topLeftCell="M1" workbookViewId="0">
      <selection activeCell="M11" sqref="M11"/>
    </sheetView>
  </sheetViews>
  <sheetFormatPr defaultRowHeight="15" x14ac:dyDescent="0.25"/>
  <cols>
    <col min="14" max="14" width="22.140625" customWidth="1"/>
    <col min="15" max="15" width="14.140625" customWidth="1"/>
    <col min="16" max="16" width="17.28515625" bestFit="1" customWidth="1"/>
    <col min="17" max="18" width="14.140625" customWidth="1"/>
    <col min="20" max="20" width="20.28515625" bestFit="1" customWidth="1"/>
  </cols>
  <sheetData>
    <row r="2" spans="6:30" x14ac:dyDescent="0.25">
      <c r="M2" t="s">
        <v>129</v>
      </c>
      <c r="N2" s="17" t="s">
        <v>156</v>
      </c>
      <c r="O2" s="17"/>
      <c r="P2" s="17" t="s">
        <v>186</v>
      </c>
      <c r="Q2" s="17"/>
      <c r="R2" t="s">
        <v>129</v>
      </c>
      <c r="S2" s="17" t="s">
        <v>157</v>
      </c>
    </row>
    <row r="3" spans="6:30" x14ac:dyDescent="0.25">
      <c r="M3">
        <v>0</v>
      </c>
      <c r="N3" s="30" t="s">
        <v>185</v>
      </c>
      <c r="O3" t="s">
        <v>158</v>
      </c>
      <c r="P3" t="s">
        <v>217</v>
      </c>
      <c r="R3">
        <v>0</v>
      </c>
      <c r="S3" t="s">
        <v>130</v>
      </c>
      <c r="T3" t="s">
        <v>187</v>
      </c>
      <c r="U3" t="str">
        <f>_xlfn.XLOOKUP(T3,$P$5:$P$30,$Y$3:$Y$28,"not used")</f>
        <v>used</v>
      </c>
      <c r="Y3" t="s">
        <v>215</v>
      </c>
    </row>
    <row r="4" spans="6:30" x14ac:dyDescent="0.25">
      <c r="M4">
        <v>1</v>
      </c>
      <c r="N4" s="30"/>
      <c r="O4" t="s">
        <v>165</v>
      </c>
      <c r="P4" t="s">
        <v>218</v>
      </c>
      <c r="R4">
        <v>1</v>
      </c>
      <c r="S4" t="s">
        <v>131</v>
      </c>
      <c r="T4" t="s">
        <v>188</v>
      </c>
      <c r="U4" t="str">
        <f>_xlfn.XLOOKUP(T4,$P$5:$P$30,$Y$3:$Y$28,"not used")</f>
        <v>used</v>
      </c>
      <c r="Y4" t="s">
        <v>215</v>
      </c>
    </row>
    <row r="5" spans="6:30" x14ac:dyDescent="0.25">
      <c r="F5" t="s">
        <v>101</v>
      </c>
      <c r="M5">
        <v>2</v>
      </c>
      <c r="N5" s="30" t="s">
        <v>177</v>
      </c>
      <c r="O5" t="s">
        <v>219</v>
      </c>
      <c r="P5" t="s">
        <v>196</v>
      </c>
      <c r="R5">
        <v>2</v>
      </c>
      <c r="S5" t="s">
        <v>132</v>
      </c>
      <c r="T5" t="s">
        <v>189</v>
      </c>
      <c r="U5" t="str">
        <f t="shared" ref="U5:U34" si="0">_xlfn.XLOOKUP(T5,$P$5:$P$30,$Y$3:$Y$28,"not used")</f>
        <v>used</v>
      </c>
      <c r="Y5" t="s">
        <v>215</v>
      </c>
    </row>
    <row r="6" spans="6:30" ht="15" customHeight="1" x14ac:dyDescent="0.25">
      <c r="F6">
        <v>0</v>
      </c>
      <c r="G6" s="28" t="s">
        <v>109</v>
      </c>
      <c r="H6" s="30" t="s">
        <v>110</v>
      </c>
      <c r="M6">
        <v>3</v>
      </c>
      <c r="N6" s="30"/>
      <c r="O6" t="s">
        <v>220</v>
      </c>
      <c r="P6" t="s">
        <v>195</v>
      </c>
      <c r="R6">
        <v>3</v>
      </c>
      <c r="S6" t="s">
        <v>133</v>
      </c>
      <c r="T6" t="s">
        <v>190</v>
      </c>
      <c r="U6" t="str">
        <f t="shared" si="0"/>
        <v>used</v>
      </c>
      <c r="Y6" t="s">
        <v>215</v>
      </c>
    </row>
    <row r="7" spans="6:30" x14ac:dyDescent="0.25">
      <c r="F7">
        <v>1</v>
      </c>
      <c r="G7" s="28"/>
      <c r="H7" s="30"/>
      <c r="M7">
        <v>4</v>
      </c>
      <c r="N7" s="30"/>
      <c r="O7" t="s">
        <v>221</v>
      </c>
      <c r="P7" t="s">
        <v>194</v>
      </c>
      <c r="R7">
        <v>4</v>
      </c>
      <c r="S7" t="s">
        <v>134</v>
      </c>
      <c r="T7" t="s">
        <v>191</v>
      </c>
      <c r="U7" t="str">
        <f t="shared" si="0"/>
        <v>used</v>
      </c>
      <c r="Y7" t="s">
        <v>215</v>
      </c>
    </row>
    <row r="8" spans="6:30" x14ac:dyDescent="0.25">
      <c r="F8">
        <v>2</v>
      </c>
      <c r="G8" s="28"/>
      <c r="H8" s="30"/>
      <c r="M8">
        <v>5</v>
      </c>
      <c r="N8" s="30"/>
      <c r="O8" t="s">
        <v>222</v>
      </c>
      <c r="P8" t="s">
        <v>202</v>
      </c>
      <c r="R8">
        <v>5</v>
      </c>
      <c r="S8" t="s">
        <v>135</v>
      </c>
      <c r="T8" t="s">
        <v>192</v>
      </c>
      <c r="U8" t="str">
        <f t="shared" si="0"/>
        <v>used</v>
      </c>
      <c r="Y8" t="s">
        <v>215</v>
      </c>
    </row>
    <row r="9" spans="6:30" x14ac:dyDescent="0.25">
      <c r="F9">
        <v>3</v>
      </c>
      <c r="G9" s="28"/>
      <c r="H9" s="30"/>
      <c r="M9">
        <v>6</v>
      </c>
      <c r="N9" s="30"/>
      <c r="O9" t="s">
        <v>223</v>
      </c>
      <c r="P9" t="s">
        <v>203</v>
      </c>
      <c r="R9">
        <v>6</v>
      </c>
      <c r="S9" t="s">
        <v>136</v>
      </c>
      <c r="T9" t="s">
        <v>193</v>
      </c>
      <c r="U9" t="s">
        <v>215</v>
      </c>
      <c r="V9" s="27"/>
      <c r="Y9" t="s">
        <v>215</v>
      </c>
    </row>
    <row r="10" spans="6:30" x14ac:dyDescent="0.25">
      <c r="F10">
        <v>4</v>
      </c>
      <c r="G10" s="28"/>
      <c r="H10" s="30"/>
      <c r="M10">
        <v>7</v>
      </c>
      <c r="N10" s="30"/>
      <c r="O10" t="s">
        <v>224</v>
      </c>
      <c r="P10" t="s">
        <v>204</v>
      </c>
      <c r="R10">
        <v>7</v>
      </c>
      <c r="S10" t="s">
        <v>137</v>
      </c>
      <c r="T10" t="s">
        <v>194</v>
      </c>
      <c r="U10" t="str">
        <f t="shared" si="0"/>
        <v>used</v>
      </c>
      <c r="V10" s="27"/>
      <c r="Y10" t="s">
        <v>215</v>
      </c>
    </row>
    <row r="11" spans="6:30" x14ac:dyDescent="0.25">
      <c r="F11">
        <v>5</v>
      </c>
      <c r="G11" s="28"/>
      <c r="H11" s="30"/>
      <c r="M11">
        <v>8</v>
      </c>
      <c r="N11" s="30" t="s">
        <v>166</v>
      </c>
      <c r="O11" t="s">
        <v>167</v>
      </c>
      <c r="P11" t="s">
        <v>188</v>
      </c>
      <c r="R11">
        <v>8</v>
      </c>
      <c r="S11" t="s">
        <v>138</v>
      </c>
      <c r="T11" t="s">
        <v>195</v>
      </c>
      <c r="U11" t="str">
        <f t="shared" si="0"/>
        <v>used</v>
      </c>
      <c r="V11" s="27"/>
      <c r="Y11" t="s">
        <v>215</v>
      </c>
    </row>
    <row r="12" spans="6:30" x14ac:dyDescent="0.25">
      <c r="F12">
        <v>6</v>
      </c>
      <c r="G12" s="28"/>
      <c r="H12" s="30"/>
      <c r="M12">
        <v>9</v>
      </c>
      <c r="N12" s="30"/>
      <c r="O12" t="s">
        <v>168</v>
      </c>
      <c r="P12" t="s">
        <v>188</v>
      </c>
      <c r="R12">
        <v>9</v>
      </c>
      <c r="S12" t="s">
        <v>139</v>
      </c>
      <c r="T12" t="s">
        <v>196</v>
      </c>
      <c r="U12" t="str">
        <f t="shared" si="0"/>
        <v>used</v>
      </c>
      <c r="V12" s="27"/>
      <c r="Y12" t="s">
        <v>215</v>
      </c>
    </row>
    <row r="13" spans="6:30" x14ac:dyDescent="0.25">
      <c r="F13">
        <v>7</v>
      </c>
      <c r="G13" s="28"/>
      <c r="H13" s="30"/>
      <c r="M13">
        <v>10</v>
      </c>
      <c r="N13" s="30"/>
      <c r="O13" t="s">
        <v>169</v>
      </c>
      <c r="P13" t="s">
        <v>211</v>
      </c>
      <c r="R13">
        <v>10</v>
      </c>
      <c r="S13" t="s">
        <v>140</v>
      </c>
      <c r="T13" t="s">
        <v>197</v>
      </c>
      <c r="U13" t="str">
        <f t="shared" si="0"/>
        <v>used</v>
      </c>
      <c r="V13" s="27"/>
      <c r="Y13" t="s">
        <v>215</v>
      </c>
    </row>
    <row r="14" spans="6:30" x14ac:dyDescent="0.25">
      <c r="F14">
        <v>8</v>
      </c>
      <c r="G14" s="28"/>
      <c r="H14" s="30"/>
      <c r="M14">
        <v>11</v>
      </c>
      <c r="N14" s="30"/>
      <c r="O14" t="s">
        <v>170</v>
      </c>
      <c r="P14" t="s">
        <v>211</v>
      </c>
      <c r="R14">
        <v>11</v>
      </c>
      <c r="S14" t="s">
        <v>141</v>
      </c>
      <c r="T14" t="s">
        <v>198</v>
      </c>
      <c r="U14" t="s">
        <v>215</v>
      </c>
      <c r="V14" s="27"/>
      <c r="Y14" t="s">
        <v>215</v>
      </c>
    </row>
    <row r="15" spans="6:30" ht="15" customHeight="1" x14ac:dyDescent="0.25">
      <c r="F15">
        <v>9</v>
      </c>
      <c r="G15" s="28"/>
      <c r="H15" s="30"/>
      <c r="M15">
        <v>12</v>
      </c>
      <c r="N15" s="30"/>
      <c r="O15" t="s">
        <v>213</v>
      </c>
      <c r="P15" t="s">
        <v>187</v>
      </c>
      <c r="R15">
        <v>12</v>
      </c>
      <c r="S15" t="s">
        <v>142</v>
      </c>
      <c r="T15" t="s">
        <v>199</v>
      </c>
      <c r="U15" t="s">
        <v>215</v>
      </c>
      <c r="Y15" t="s">
        <v>215</v>
      </c>
      <c r="AD15" s="20" t="s">
        <v>111</v>
      </c>
    </row>
    <row r="16" spans="6:30" x14ac:dyDescent="0.25">
      <c r="F16">
        <v>10</v>
      </c>
      <c r="G16" s="28"/>
      <c r="H16" s="30"/>
      <c r="M16">
        <v>13</v>
      </c>
      <c r="N16" s="30"/>
      <c r="O16" t="s">
        <v>214</v>
      </c>
      <c r="P16" t="s">
        <v>187</v>
      </c>
      <c r="R16">
        <v>13</v>
      </c>
      <c r="S16" t="s">
        <v>143</v>
      </c>
      <c r="T16" t="s">
        <v>200</v>
      </c>
      <c r="U16" t="s">
        <v>215</v>
      </c>
      <c r="Y16" t="s">
        <v>215</v>
      </c>
      <c r="AD16" s="20" t="s">
        <v>112</v>
      </c>
    </row>
    <row r="17" spans="6:33" x14ac:dyDescent="0.25">
      <c r="F17">
        <v>11</v>
      </c>
      <c r="G17" s="28"/>
      <c r="H17" s="30"/>
      <c r="M17">
        <v>14</v>
      </c>
      <c r="N17" s="28" t="s">
        <v>176</v>
      </c>
      <c r="O17" t="s">
        <v>171</v>
      </c>
      <c r="P17" t="s">
        <v>206</v>
      </c>
      <c r="R17">
        <v>14</v>
      </c>
      <c r="S17" t="s">
        <v>144</v>
      </c>
      <c r="T17" t="s">
        <v>201</v>
      </c>
      <c r="U17" t="str">
        <f t="shared" si="0"/>
        <v>used</v>
      </c>
      <c r="Y17" t="s">
        <v>215</v>
      </c>
    </row>
    <row r="18" spans="6:33" x14ac:dyDescent="0.25">
      <c r="F18">
        <v>12</v>
      </c>
      <c r="G18" s="28"/>
      <c r="H18" s="30"/>
      <c r="M18">
        <v>15</v>
      </c>
      <c r="N18" s="28"/>
      <c r="O18" t="s">
        <v>172</v>
      </c>
      <c r="P18" t="s">
        <v>210</v>
      </c>
      <c r="R18">
        <v>15</v>
      </c>
      <c r="S18" t="s">
        <v>145</v>
      </c>
      <c r="T18" t="s">
        <v>202</v>
      </c>
      <c r="U18" t="str">
        <f t="shared" si="0"/>
        <v>used</v>
      </c>
      <c r="Y18" t="s">
        <v>215</v>
      </c>
    </row>
    <row r="19" spans="6:33" x14ac:dyDescent="0.25">
      <c r="F19">
        <v>13</v>
      </c>
      <c r="G19" s="28"/>
      <c r="H19" s="30"/>
      <c r="M19">
        <v>16</v>
      </c>
      <c r="N19" s="28"/>
      <c r="O19" t="s">
        <v>173</v>
      </c>
      <c r="P19" t="s">
        <v>209</v>
      </c>
      <c r="R19">
        <v>16</v>
      </c>
      <c r="S19" t="s">
        <v>146</v>
      </c>
      <c r="T19" t="s">
        <v>203</v>
      </c>
      <c r="U19" t="str">
        <f t="shared" si="0"/>
        <v>used</v>
      </c>
      <c r="Y19" t="s">
        <v>215</v>
      </c>
    </row>
    <row r="20" spans="6:33" x14ac:dyDescent="0.25">
      <c r="F20">
        <v>14</v>
      </c>
      <c r="G20" s="28"/>
      <c r="H20" s="30"/>
      <c r="M20">
        <v>17</v>
      </c>
      <c r="N20" s="28"/>
      <c r="O20" t="s">
        <v>174</v>
      </c>
      <c r="P20" t="s">
        <v>208</v>
      </c>
      <c r="R20">
        <v>17</v>
      </c>
      <c r="S20" t="s">
        <v>147</v>
      </c>
      <c r="T20" t="s">
        <v>204</v>
      </c>
      <c r="U20" t="str">
        <f t="shared" si="0"/>
        <v>used</v>
      </c>
      <c r="Y20" t="s">
        <v>215</v>
      </c>
      <c r="AC20" t="s">
        <v>106</v>
      </c>
      <c r="AD20" s="30" t="s">
        <v>117</v>
      </c>
      <c r="AE20" t="s">
        <v>113</v>
      </c>
      <c r="AG20" t="str">
        <f>RIGHT(AE20,LEN(AE20)-2)</f>
        <v>0001000</v>
      </c>
    </row>
    <row r="21" spans="6:33" x14ac:dyDescent="0.25">
      <c r="F21">
        <v>15</v>
      </c>
      <c r="G21" s="28"/>
      <c r="H21" s="30"/>
      <c r="M21">
        <v>18</v>
      </c>
      <c r="N21" s="28"/>
      <c r="O21" t="s">
        <v>175</v>
      </c>
      <c r="P21" t="s">
        <v>207</v>
      </c>
      <c r="R21">
        <v>18</v>
      </c>
      <c r="S21" t="s">
        <v>148</v>
      </c>
      <c r="T21" t="s">
        <v>205</v>
      </c>
      <c r="U21" t="s">
        <v>215</v>
      </c>
      <c r="Y21" t="s">
        <v>215</v>
      </c>
      <c r="AC21" t="s">
        <v>107</v>
      </c>
      <c r="AD21" s="30"/>
      <c r="AE21" t="s">
        <v>114</v>
      </c>
      <c r="AG21" t="str">
        <f>RIGHT(AE21,LEN(AE21)-2)</f>
        <v>0001001</v>
      </c>
    </row>
    <row r="22" spans="6:33" x14ac:dyDescent="0.25">
      <c r="F22">
        <v>16</v>
      </c>
      <c r="G22" s="28"/>
      <c r="H22" s="30"/>
      <c r="M22">
        <v>19</v>
      </c>
      <c r="N22" s="30" t="s">
        <v>178</v>
      </c>
      <c r="O22" t="s">
        <v>179</v>
      </c>
      <c r="P22" t="s">
        <v>192</v>
      </c>
      <c r="R22">
        <v>19</v>
      </c>
      <c r="S22" t="s">
        <v>149</v>
      </c>
      <c r="T22" t="s">
        <v>206</v>
      </c>
      <c r="U22" t="str">
        <f t="shared" si="0"/>
        <v>used</v>
      </c>
      <c r="Y22" t="s">
        <v>215</v>
      </c>
      <c r="AC22" t="s">
        <v>108</v>
      </c>
      <c r="AD22" s="30"/>
      <c r="AE22" t="s">
        <v>115</v>
      </c>
      <c r="AG22" t="str">
        <f>RIGHT(AE22,LEN(AE22)-2)</f>
        <v>0001010</v>
      </c>
    </row>
    <row r="23" spans="6:33" x14ac:dyDescent="0.25">
      <c r="F23">
        <v>17</v>
      </c>
      <c r="G23" s="28"/>
      <c r="H23" s="30"/>
      <c r="M23">
        <v>20</v>
      </c>
      <c r="N23" s="30"/>
      <c r="O23" t="s">
        <v>180</v>
      </c>
      <c r="P23" t="s">
        <v>189</v>
      </c>
      <c r="R23">
        <v>20</v>
      </c>
      <c r="S23" t="s">
        <v>150</v>
      </c>
      <c r="T23" t="s">
        <v>207</v>
      </c>
      <c r="U23" t="str">
        <f t="shared" si="0"/>
        <v>used</v>
      </c>
      <c r="Y23" t="s">
        <v>215</v>
      </c>
      <c r="AD23" s="21"/>
    </row>
    <row r="24" spans="6:33" x14ac:dyDescent="0.25">
      <c r="F24">
        <v>18</v>
      </c>
      <c r="G24" s="28"/>
      <c r="H24" s="30"/>
      <c r="M24">
        <v>21</v>
      </c>
      <c r="N24" s="30"/>
      <c r="O24" t="s">
        <v>181</v>
      </c>
      <c r="P24" t="s">
        <v>190</v>
      </c>
      <c r="R24">
        <v>21</v>
      </c>
      <c r="S24" t="s">
        <v>151</v>
      </c>
      <c r="T24" t="s">
        <v>208</v>
      </c>
      <c r="U24" t="str">
        <f t="shared" si="0"/>
        <v>used</v>
      </c>
      <c r="Y24" t="s">
        <v>215</v>
      </c>
      <c r="AC24" t="s">
        <v>103</v>
      </c>
      <c r="AD24" s="30" t="s">
        <v>118</v>
      </c>
      <c r="AE24" t="s">
        <v>116</v>
      </c>
      <c r="AG24" t="str">
        <f>RIGHT(AE24,LEN(AE24)-2)</f>
        <v>1001100</v>
      </c>
    </row>
    <row r="25" spans="6:33" x14ac:dyDescent="0.25">
      <c r="F25">
        <v>19</v>
      </c>
      <c r="G25" s="28"/>
      <c r="H25" s="30"/>
      <c r="M25">
        <v>22</v>
      </c>
      <c r="N25" s="30"/>
      <c r="O25" t="s">
        <v>182</v>
      </c>
      <c r="P25" t="s">
        <v>197</v>
      </c>
      <c r="R25">
        <v>22</v>
      </c>
      <c r="S25" t="s">
        <v>152</v>
      </c>
      <c r="T25" t="s">
        <v>209</v>
      </c>
      <c r="U25" t="str">
        <f t="shared" si="0"/>
        <v>used</v>
      </c>
      <c r="Y25" t="s">
        <v>215</v>
      </c>
      <c r="AC25" t="s">
        <v>104</v>
      </c>
      <c r="AD25" s="30"/>
      <c r="AE25" t="s">
        <v>119</v>
      </c>
      <c r="AG25" t="str">
        <f>RIGHT(AE25,LEN(AE25)-2)</f>
        <v>1001101</v>
      </c>
    </row>
    <row r="26" spans="6:33" x14ac:dyDescent="0.25">
      <c r="F26">
        <v>20</v>
      </c>
      <c r="G26" s="28"/>
      <c r="H26" s="30"/>
      <c r="M26">
        <v>23</v>
      </c>
      <c r="N26" s="30"/>
      <c r="O26" t="s">
        <v>183</v>
      </c>
      <c r="P26" t="s">
        <v>201</v>
      </c>
      <c r="R26">
        <v>23</v>
      </c>
      <c r="S26" t="s">
        <v>153</v>
      </c>
      <c r="T26" t="s">
        <v>210</v>
      </c>
      <c r="U26" t="str">
        <f t="shared" si="0"/>
        <v>used</v>
      </c>
      <c r="Y26" t="s">
        <v>215</v>
      </c>
      <c r="AC26" t="s">
        <v>105</v>
      </c>
      <c r="AD26" s="30"/>
      <c r="AE26" t="s">
        <v>120</v>
      </c>
      <c r="AG26" t="str">
        <f>RIGHT(AE26,LEN(AE26)-2)</f>
        <v>1001110</v>
      </c>
    </row>
    <row r="27" spans="6:33" x14ac:dyDescent="0.25">
      <c r="F27">
        <v>21</v>
      </c>
      <c r="G27" s="28"/>
      <c r="H27" s="30"/>
      <c r="M27">
        <v>24</v>
      </c>
      <c r="N27" s="30"/>
      <c r="O27" t="s">
        <v>184</v>
      </c>
      <c r="P27" t="s">
        <v>191</v>
      </c>
      <c r="R27">
        <v>24</v>
      </c>
      <c r="S27" t="s">
        <v>154</v>
      </c>
      <c r="T27" t="s">
        <v>211</v>
      </c>
      <c r="U27" t="str">
        <f t="shared" si="0"/>
        <v>used</v>
      </c>
      <c r="Y27" t="s">
        <v>215</v>
      </c>
    </row>
    <row r="28" spans="6:33" x14ac:dyDescent="0.25">
      <c r="F28">
        <v>22</v>
      </c>
      <c r="G28" s="28"/>
      <c r="H28" s="30"/>
      <c r="M28">
        <v>25</v>
      </c>
      <c r="N28" t="s">
        <v>164</v>
      </c>
      <c r="R28">
        <v>25</v>
      </c>
      <c r="S28" t="s">
        <v>155</v>
      </c>
      <c r="T28" t="s">
        <v>212</v>
      </c>
      <c r="U28" t="s">
        <v>215</v>
      </c>
      <c r="Y28" t="s">
        <v>215</v>
      </c>
    </row>
    <row r="29" spans="6:33" x14ac:dyDescent="0.25">
      <c r="F29">
        <v>23</v>
      </c>
      <c r="G29" s="28"/>
      <c r="H29" s="30"/>
      <c r="M29">
        <v>26</v>
      </c>
      <c r="N29" t="s">
        <v>164</v>
      </c>
      <c r="R29">
        <v>26</v>
      </c>
      <c r="S29" t="s">
        <v>159</v>
      </c>
      <c r="U29" t="str">
        <f t="shared" si="0"/>
        <v>used</v>
      </c>
      <c r="Y29" t="s">
        <v>215</v>
      </c>
    </row>
    <row r="30" spans="6:33" x14ac:dyDescent="0.25">
      <c r="F30">
        <v>24</v>
      </c>
      <c r="G30" s="28"/>
      <c r="H30" s="30"/>
      <c r="M30">
        <v>27</v>
      </c>
      <c r="N30" t="s">
        <v>164</v>
      </c>
      <c r="R30">
        <v>27</v>
      </c>
      <c r="S30" t="s">
        <v>160</v>
      </c>
      <c r="U30" t="str">
        <f t="shared" si="0"/>
        <v>used</v>
      </c>
    </row>
    <row r="31" spans="6:33" x14ac:dyDescent="0.25">
      <c r="F31">
        <v>25</v>
      </c>
      <c r="G31" s="28" t="s">
        <v>102</v>
      </c>
      <c r="H31" t="s">
        <v>103</v>
      </c>
      <c r="M31">
        <v>28</v>
      </c>
      <c r="N31" t="s">
        <v>164</v>
      </c>
      <c r="R31">
        <v>28</v>
      </c>
      <c r="S31" t="s">
        <v>161</v>
      </c>
      <c r="U31" t="str">
        <f t="shared" si="0"/>
        <v>used</v>
      </c>
    </row>
    <row r="32" spans="6:33" x14ac:dyDescent="0.25">
      <c r="F32">
        <v>26</v>
      </c>
      <c r="G32" s="28"/>
      <c r="H32" t="s">
        <v>104</v>
      </c>
      <c r="M32">
        <v>29</v>
      </c>
      <c r="N32" t="s">
        <v>164</v>
      </c>
      <c r="R32">
        <v>29</v>
      </c>
      <c r="S32" t="s">
        <v>162</v>
      </c>
      <c r="U32" t="str">
        <f t="shared" si="0"/>
        <v>used</v>
      </c>
    </row>
    <row r="33" spans="6:21" x14ac:dyDescent="0.25">
      <c r="F33">
        <v>27</v>
      </c>
      <c r="G33" s="28"/>
      <c r="H33" t="s">
        <v>105</v>
      </c>
      <c r="M33">
        <v>30</v>
      </c>
      <c r="N33" t="s">
        <v>164</v>
      </c>
      <c r="R33">
        <v>30</v>
      </c>
      <c r="S33" t="s">
        <v>163</v>
      </c>
      <c r="U33" t="str">
        <f t="shared" si="0"/>
        <v>used</v>
      </c>
    </row>
    <row r="34" spans="6:21" x14ac:dyDescent="0.25">
      <c r="F34">
        <v>28</v>
      </c>
      <c r="G34" s="28"/>
      <c r="H34" t="s">
        <v>106</v>
      </c>
      <c r="M34">
        <v>31</v>
      </c>
      <c r="N34" t="s">
        <v>164</v>
      </c>
      <c r="R34">
        <v>31</v>
      </c>
      <c r="S34" t="s">
        <v>216</v>
      </c>
      <c r="U34" t="str">
        <f t="shared" si="0"/>
        <v>used</v>
      </c>
    </row>
    <row r="35" spans="6:21" x14ac:dyDescent="0.25">
      <c r="F35">
        <v>29</v>
      </c>
      <c r="G35" s="28"/>
      <c r="H35" t="s">
        <v>107</v>
      </c>
    </row>
    <row r="36" spans="6:21" x14ac:dyDescent="0.25">
      <c r="F36">
        <v>30</v>
      </c>
      <c r="G36" s="28"/>
      <c r="H36" t="s">
        <v>108</v>
      </c>
    </row>
    <row r="37" spans="6:21" x14ac:dyDescent="0.25">
      <c r="F37">
        <v>31</v>
      </c>
    </row>
  </sheetData>
  <mergeCells count="10">
    <mergeCell ref="AD20:AD22"/>
    <mergeCell ref="AD24:AD26"/>
    <mergeCell ref="G6:G30"/>
    <mergeCell ref="N5:N10"/>
    <mergeCell ref="N3:N4"/>
    <mergeCell ref="N11:N16"/>
    <mergeCell ref="N17:N21"/>
    <mergeCell ref="N22:N27"/>
    <mergeCell ref="G31:G36"/>
    <mergeCell ref="H6:H30"/>
  </mergeCells>
  <phoneticPr fontId="10" type="noConversion"/>
  <conditionalFormatting sqref="U3:U8 U17:U20 U10:U13 U22:U27">
    <cfRule type="containsText" dxfId="0" priority="1" operator="containsText" text="not">
      <formula>NOT(ISERROR(SEARCH("not",U3)))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939B-3364-4F24-B1E3-EAF08BAB1714}">
  <dimension ref="E2:G23"/>
  <sheetViews>
    <sheetView tabSelected="1" workbookViewId="0">
      <selection activeCell="Z5" sqref="Z5"/>
    </sheetView>
  </sheetViews>
  <sheetFormatPr defaultRowHeight="15" x14ac:dyDescent="0.25"/>
  <sheetData>
    <row r="2" spans="5:7" x14ac:dyDescent="0.25">
      <c r="E2" t="s">
        <v>228</v>
      </c>
      <c r="F2" t="s">
        <v>229</v>
      </c>
    </row>
    <row r="3" spans="5:7" x14ac:dyDescent="0.25">
      <c r="E3">
        <v>10</v>
      </c>
      <c r="F3">
        <v>0</v>
      </c>
    </row>
    <row r="4" spans="5:7" x14ac:dyDescent="0.25">
      <c r="E4">
        <v>20</v>
      </c>
      <c r="F4">
        <v>19</v>
      </c>
      <c r="G4">
        <f>F4-F3</f>
        <v>19</v>
      </c>
    </row>
    <row r="5" spans="5:7" x14ac:dyDescent="0.25">
      <c r="E5">
        <v>30</v>
      </c>
      <c r="F5">
        <v>38</v>
      </c>
      <c r="G5">
        <f t="shared" ref="G5:G23" si="0">F5-F4</f>
        <v>19</v>
      </c>
    </row>
    <row r="6" spans="5:7" x14ac:dyDescent="0.25">
      <c r="E6">
        <v>40</v>
      </c>
      <c r="F6">
        <v>51</v>
      </c>
      <c r="G6">
        <f t="shared" si="0"/>
        <v>13</v>
      </c>
    </row>
    <row r="7" spans="5:7" x14ac:dyDescent="0.25">
      <c r="E7">
        <v>50</v>
      </c>
      <c r="F7">
        <v>73</v>
      </c>
      <c r="G7">
        <f t="shared" si="0"/>
        <v>22</v>
      </c>
    </row>
    <row r="8" spans="5:7" x14ac:dyDescent="0.25">
      <c r="E8">
        <v>60</v>
      </c>
      <c r="F8">
        <v>90</v>
      </c>
      <c r="G8">
        <f t="shared" si="0"/>
        <v>17</v>
      </c>
    </row>
    <row r="9" spans="5:7" x14ac:dyDescent="0.25">
      <c r="E9">
        <v>70</v>
      </c>
      <c r="F9">
        <v>106</v>
      </c>
      <c r="G9">
        <f t="shared" si="0"/>
        <v>16</v>
      </c>
    </row>
    <row r="10" spans="5:7" x14ac:dyDescent="0.25">
      <c r="E10">
        <v>80</v>
      </c>
      <c r="F10">
        <v>122</v>
      </c>
      <c r="G10">
        <f t="shared" si="0"/>
        <v>16</v>
      </c>
    </row>
    <row r="11" spans="5:7" x14ac:dyDescent="0.25">
      <c r="E11">
        <v>90</v>
      </c>
      <c r="F11">
        <v>137</v>
      </c>
      <c r="G11">
        <f t="shared" si="0"/>
        <v>15</v>
      </c>
    </row>
    <row r="12" spans="5:7" x14ac:dyDescent="0.25">
      <c r="E12">
        <v>100</v>
      </c>
      <c r="F12">
        <v>153</v>
      </c>
      <c r="G12">
        <f t="shared" si="0"/>
        <v>16</v>
      </c>
    </row>
    <row r="13" spans="5:7" x14ac:dyDescent="0.25">
      <c r="E13">
        <v>110</v>
      </c>
      <c r="F13">
        <v>169</v>
      </c>
      <c r="G13">
        <f t="shared" si="0"/>
        <v>16</v>
      </c>
    </row>
    <row r="14" spans="5:7" x14ac:dyDescent="0.25">
      <c r="E14">
        <v>120</v>
      </c>
      <c r="F14">
        <v>185</v>
      </c>
      <c r="G14">
        <f t="shared" si="0"/>
        <v>16</v>
      </c>
    </row>
    <row r="15" spans="5:7" x14ac:dyDescent="0.25">
      <c r="E15">
        <v>130</v>
      </c>
      <c r="F15">
        <v>202</v>
      </c>
      <c r="G15">
        <f t="shared" si="0"/>
        <v>17</v>
      </c>
    </row>
    <row r="16" spans="5:7" x14ac:dyDescent="0.25">
      <c r="E16">
        <v>140</v>
      </c>
      <c r="F16">
        <v>218</v>
      </c>
      <c r="G16">
        <f t="shared" si="0"/>
        <v>16</v>
      </c>
    </row>
    <row r="17" spans="5:7" x14ac:dyDescent="0.25">
      <c r="E17">
        <v>150</v>
      </c>
      <c r="F17">
        <v>238</v>
      </c>
      <c r="G17">
        <f t="shared" si="0"/>
        <v>20</v>
      </c>
    </row>
    <row r="18" spans="5:7" x14ac:dyDescent="0.25">
      <c r="E18">
        <v>160</v>
      </c>
      <c r="F18">
        <v>253</v>
      </c>
      <c r="G18">
        <f t="shared" si="0"/>
        <v>15</v>
      </c>
    </row>
    <row r="19" spans="5:7" x14ac:dyDescent="0.25">
      <c r="E19">
        <v>170</v>
      </c>
      <c r="F19">
        <v>270</v>
      </c>
      <c r="G19">
        <f t="shared" si="0"/>
        <v>17</v>
      </c>
    </row>
    <row r="20" spans="5:7" x14ac:dyDescent="0.25">
      <c r="E20">
        <v>180</v>
      </c>
      <c r="F20">
        <v>285</v>
      </c>
      <c r="G20">
        <f t="shared" si="0"/>
        <v>15</v>
      </c>
    </row>
    <row r="21" spans="5:7" x14ac:dyDescent="0.25">
      <c r="E21">
        <v>190</v>
      </c>
      <c r="F21">
        <v>305</v>
      </c>
      <c r="G21">
        <f t="shared" si="0"/>
        <v>20</v>
      </c>
    </row>
    <row r="22" spans="5:7" x14ac:dyDescent="0.25">
      <c r="E22">
        <v>200</v>
      </c>
      <c r="F22">
        <v>320</v>
      </c>
      <c r="G22">
        <f t="shared" si="0"/>
        <v>15</v>
      </c>
    </row>
    <row r="23" spans="5:7" x14ac:dyDescent="0.25">
      <c r="E23">
        <v>210</v>
      </c>
      <c r="F23">
        <v>335</v>
      </c>
      <c r="G23">
        <f>F23-F22</f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LED</vt:lpstr>
      <vt:lpstr>High power LEDS</vt:lpstr>
      <vt:lpstr>TLV61046A</vt:lpstr>
      <vt:lpstr>LP5036</vt:lpstr>
      <vt:lpstr>MT2492</vt:lpstr>
      <vt:lpstr>ADC</vt:lpstr>
      <vt:lpstr>timer calcs</vt:lpstr>
      <vt:lpstr>error codes</vt:lpstr>
      <vt:lpstr>motors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Tuli</dc:creator>
  <cp:lastModifiedBy>László Tuli</cp:lastModifiedBy>
  <dcterms:created xsi:type="dcterms:W3CDTF">2025-06-29T12:25:56Z</dcterms:created>
  <dcterms:modified xsi:type="dcterms:W3CDTF">2025-10-05T17:09:19Z</dcterms:modified>
</cp:coreProperties>
</file>